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125" documentId="14_{167F2DC3-291A-4B33-AB7D-1A6E034E4A5E}" xr6:coauthVersionLast="47" xr6:coauthVersionMax="47" xr10:uidLastSave="{922E362C-0C3A-49A2-AE7C-0342D5BE4156}"/>
  <bookViews>
    <workbookView xWindow="-108" yWindow="-108" windowWidth="23256" windowHeight="12456" activeTab="1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4" i="1" l="1"/>
  <c r="BN4" i="1"/>
  <c r="BO4" i="1"/>
  <c r="BP4" i="1"/>
  <c r="BQ4" i="1"/>
  <c r="BR4" i="1"/>
  <c r="BS4" i="1"/>
  <c r="BT4" i="1"/>
  <c r="BU4" i="1"/>
  <c r="BV4" i="1"/>
  <c r="BM6" i="1"/>
  <c r="BN6" i="1"/>
  <c r="BO6" i="1"/>
  <c r="BP6" i="1"/>
  <c r="BQ6" i="1"/>
  <c r="BR6" i="1"/>
  <c r="BS6" i="1"/>
  <c r="BT6" i="1"/>
  <c r="BU6" i="1"/>
  <c r="BV6" i="1"/>
  <c r="BM8" i="1"/>
  <c r="BN8" i="1"/>
  <c r="BO8" i="1"/>
  <c r="BP8" i="1"/>
  <c r="BQ8" i="1"/>
  <c r="BR8" i="1"/>
  <c r="BS8" i="1"/>
  <c r="BT8" i="1"/>
  <c r="BU8" i="1"/>
  <c r="BV8" i="1"/>
  <c r="BG4" i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CA5" i="1"/>
  <c r="CA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O5" i="1" l="1"/>
  <c r="BO7" i="1"/>
  <c r="BN2" i="1"/>
  <c r="BM1" i="1" s="1"/>
  <c r="BP2" i="1"/>
  <c r="BO1" i="1" s="1"/>
  <c r="BR2" i="1"/>
  <c r="BT2" i="1"/>
  <c r="BS1" i="1" s="1"/>
  <c r="BV2" i="1"/>
  <c r="BU1" i="1" s="1"/>
  <c r="BM5" i="1"/>
  <c r="BQ5" i="1"/>
  <c r="BS5" i="1"/>
  <c r="BU5" i="1"/>
  <c r="BM7" i="1"/>
  <c r="BQ7" i="1"/>
  <c r="BS7" i="1"/>
  <c r="BU7" i="1"/>
  <c r="BM2" i="1"/>
  <c r="BM3" i="1"/>
  <c r="BO2" i="1"/>
  <c r="BO3" i="1"/>
  <c r="BQ2" i="1"/>
  <c r="BQ3" i="1"/>
  <c r="BS2" i="1"/>
  <c r="BS3" i="1"/>
  <c r="BU2" i="1"/>
  <c r="BU3" i="1"/>
  <c r="BG5" i="1"/>
  <c r="BK5" i="1"/>
  <c r="BK7" i="1"/>
  <c r="BL2" i="1"/>
  <c r="BK1" i="1" s="1"/>
  <c r="BI7" i="1"/>
  <c r="BI5" i="1"/>
  <c r="BG7" i="1"/>
  <c r="BJ2" i="1"/>
  <c r="BH2" i="1"/>
  <c r="BG1" i="1" s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50" i="1"/>
  <c r="L6" i="1" s="1"/>
  <c r="K150" i="1"/>
  <c r="K6" i="1" s="1"/>
  <c r="D150" i="1"/>
  <c r="D6" i="1" s="1"/>
  <c r="C150" i="1"/>
  <c r="C6" i="1" s="1"/>
  <c r="D4" i="1"/>
  <c r="BI1" i="1" l="1"/>
  <c r="BQ1" i="1"/>
  <c r="BC1" i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CB101" i="1" l="1" a="1"/>
  <c r="CG101" i="1" a="1"/>
  <c r="CL133" i="1" a="1"/>
  <c r="CL159" i="1" a="1"/>
  <c r="CL159" i="1" s="1"/>
  <c r="CQ159" i="1" a="1"/>
  <c r="CL101" i="1" a="1"/>
  <c r="CL101" i="1" s="1"/>
  <c r="BZ113" i="1"/>
  <c r="BZ4" i="1"/>
  <c r="CB101" i="1" l="1"/>
  <c r="A2" i="2" a="1"/>
  <c r="CG101" i="1"/>
  <c r="CL133" i="1"/>
  <c r="CQ159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<sst xmlns="http://schemas.openxmlformats.org/spreadsheetml/2006/main" count="403" uniqueCount="98">
  <si>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</si>
  <si>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</si>
  <si>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</si>
  <si>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</si>
  <si>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</si>
  <si>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</si>
  <si>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</si>
  <si>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</si>
  <si>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</si>
  <si>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</si>
  <si>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</si>
  <si>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</si>
  <si>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</si>
  <si>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</si>
  <si>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</si>
  <si>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</si>
  <si>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</si>
  <si>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</si>
  <si>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</si>
  <si>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</si>
  <si>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</si>
  <si>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</si>
  <si>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</si>
  <si>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</si>
  <si>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</si>
  <si>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</si>
  <si>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</si>
  <si>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</si>
  <si>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</si>
  <si>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</si>
  <si>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</si>
  <si>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</si>
  <si>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</si>
  <si>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</si>
  <si>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</si>
  <si>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</si>
  <si>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</si>
  <si>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</si>
  <si>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</si>
  <si>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</si>
  <si>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</si>
  <si>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</si>
  <si>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</si>
  <si>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</si>
  <si>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</si>
  <si>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</si>
  <si>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</si>
  <si>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</si>
  <si>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</si>
  <si>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</si>
  <si>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</si>
  <si>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</si>
  <si>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</si>
  <si>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</si>
  <si>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</si>
  <si>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</si>
  <si>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</si>
  <si>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</si>
  <si>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</si>
  <si>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</si>
  <si>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</si>
  <si>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</si>
  <si>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</si>
  <si>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</si>
  <si>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</si>
  <si>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</si>
  <si>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</si>
  <si>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</si>
  <si>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</si>
  <si>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</si>
  <si>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</si>
  <si>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</si>
  <si>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</si>
  <si>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</si>
  <si>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</si>
  <si>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</si>
  <si>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</si>
  <si>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</si>
  <si>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</si>
  <si>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</si>
  <si>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</si>
  <si>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</si>
  <si>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</si>
  <si>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</si>
  <si>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</si>
  <si>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</si>
  <si>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</si>
  <si>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</si>
  <si>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</si>
  <si>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</si>
  <si>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</si>
  <si>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</si>
  <si>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</si>
  <si>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</si>
  <si>
    <t>?</t>
  </si>
  <si>
    <t>Romain</t>
  </si>
  <si>
    <t>Sam</t>
  </si>
  <si>
    <t>Vincent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</si>
</sst>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R180"/>
  <sheetViews>
    <sheetView zoomScale="109" zoomScaleNormal="130" workbookViewId="0">
      <selection activeCell="BI18" sqref="BI18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75" width="5.77734375" style="1" customWidth="1"/>
    <col min="76" max="76" width="11.5546875" style="1"/>
    <col min="77" max="78" width="20.6640625" style="1" customWidth="1"/>
    <col min="79" max="79" width="11.5546875" style="1"/>
    <col min="80" max="80" width="16.88671875" style="1" customWidth="1"/>
    <col min="81" max="82" width="11.5546875" style="1"/>
    <col min="83" max="83" width="20.33203125" style="1" customWidth="1"/>
    <col min="84" max="84" width="23.6640625" style="1" customWidth="1"/>
    <col min="85" max="85" width="21.109375" style="1" customWidth="1"/>
    <col min="86" max="86" width="20.33203125" style="1" customWidth="1"/>
    <col min="87" max="87" width="19.21875" style="1" customWidth="1"/>
    <col min="88" max="88" width="20.77734375" style="1" customWidth="1"/>
    <col min="89" max="89" width="15.77734375" style="1" customWidth="1"/>
    <col min="90" max="16384" width="11.5546875" style="1"/>
  </cols>
  <sheetData>
    <row r="1" spans="1:7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5.7018779342723001</v>
      </c>
      <c r="F1" s="1" t="s">
        <v>2</v>
      </c>
      <c r="G1" s="1">
        <f t="shared" ref="G1" si="2">IF(H2&gt;19,G2/H2,"/")</f>
        <v>7.1547413793103445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5.4266487213997312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6.2655367231638417</v>
      </c>
      <c r="R1" s="1" t="s">
        <v>2</v>
      </c>
      <c r="S1" s="1">
        <f t="shared" ref="S1" si="8">IF(T2&gt;19,S2/T2,"/")</f>
        <v>6.059800664451827</v>
      </c>
      <c r="T1" s="1" t="s">
        <v>2</v>
      </c>
      <c r="U1" s="1">
        <f t="shared" ref="U1" si="9">IF(V2&gt;19,U2/V2,"/")</f>
        <v>3.129032258064516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4.5814332247556999</v>
      </c>
      <c r="AB1" s="1" t="s">
        <v>2</v>
      </c>
      <c r="AC1" s="1">
        <f>IF(AD2&gt;19,AC2/AD2,"/")</f>
        <v>5.6583333333333332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5.191919191919192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4.8692307692307688</v>
      </c>
      <c r="BF1" s="1" t="s">
        <v>2</v>
      </c>
      <c r="BG1" s="1">
        <f t="shared" ref="BG1" si="27">IF(BH2&gt;19,BG2/BH2,"/")</f>
        <v>4.4285714285714288</v>
      </c>
      <c r="BH1" s="1" t="s">
        <v>2</v>
      </c>
      <c r="BI1" s="1">
        <f t="shared" ref="BI1" si="28">IF(BJ2&gt;19,BI2/BJ2,"/")</f>
        <v>3.0666666666666669</v>
      </c>
      <c r="BJ1" s="1" t="s">
        <v>2</v>
      </c>
      <c r="BK1" s="1" t="str">
        <f t="shared" ref="BK1" si="29">IF(BL2&gt;19,BK2/BL2,"/")</f>
        <v>/</v>
      </c>
      <c r="BL1" s="1" t="s">
        <v>2</v>
      </c>
      <c r="BM1" s="1" t="str">
        <f t="shared" ref="BM1" si="30">IF(BN2&gt;19,BM2/BN2,"/")</f>
        <v>/</v>
      </c>
      <c r="BN1" s="1" t="s">
        <v>2</v>
      </c>
      <c r="BO1" s="1" t="str">
        <f t="shared" ref="BO1" si="31">IF(BP2&gt;19,BO2/BP2,"/")</f>
        <v>/</v>
      </c>
      <c r="BP1" s="1" t="s">
        <v>2</v>
      </c>
      <c r="BQ1" s="1">
        <f t="shared" ref="BQ1" si="32">IF(BR2&gt;19,BQ2/BR2,"/")</f>
        <v>6.75</v>
      </c>
      <c r="BR1" s="1" t="s">
        <v>2</v>
      </c>
      <c r="BS1" s="1" t="str">
        <f t="shared" ref="BS1" si="33">IF(BT2&gt;19,BS2/BT2,"/")</f>
        <v>/</v>
      </c>
      <c r="BT1" s="1" t="s">
        <v>2</v>
      </c>
      <c r="BU1" s="1" t="str">
        <f t="shared" ref="BU1" si="34">IF(BV2&gt;19,BU2/BV2,"/")</f>
        <v>/</v>
      </c>
      <c r="BV1" s="1" t="s">
        <v>2</v>
      </c>
    </row>
    <row r="2" spans="1:7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5">E4+E6+E8</f>
        <v>2429</v>
      </c>
      <c r="F2" s="1">
        <f t="shared" si="35"/>
        <v>426</v>
      </c>
      <c r="G2" s="1">
        <f t="shared" si="35"/>
        <v>8299.5</v>
      </c>
      <c r="H2" s="1">
        <f t="shared" si="35"/>
        <v>1160</v>
      </c>
      <c r="I2" s="1">
        <f t="shared" si="35"/>
        <v>1247</v>
      </c>
      <c r="J2" s="1">
        <f t="shared" si="35"/>
        <v>211</v>
      </c>
      <c r="K2" s="1">
        <f t="shared" ref="K2:AZ2" si="36">K4+K6+K8</f>
        <v>642</v>
      </c>
      <c r="L2" s="1">
        <f t="shared" si="36"/>
        <v>109</v>
      </c>
      <c r="M2" s="1">
        <f t="shared" si="36"/>
        <v>4032</v>
      </c>
      <c r="N2" s="1">
        <f t="shared" si="36"/>
        <v>743</v>
      </c>
      <c r="O2" s="1">
        <f t="shared" si="36"/>
        <v>573</v>
      </c>
      <c r="P2" s="1">
        <f t="shared" si="36"/>
        <v>79</v>
      </c>
      <c r="Q2" s="1">
        <f t="shared" si="36"/>
        <v>2218</v>
      </c>
      <c r="R2" s="1">
        <f t="shared" si="36"/>
        <v>354</v>
      </c>
      <c r="S2" s="1">
        <f t="shared" si="36"/>
        <v>1824</v>
      </c>
      <c r="T2" s="1">
        <f t="shared" si="36"/>
        <v>301</v>
      </c>
      <c r="U2" s="1">
        <f t="shared" si="36"/>
        <v>582</v>
      </c>
      <c r="V2" s="1">
        <f t="shared" si="36"/>
        <v>186</v>
      </c>
      <c r="W2" s="1">
        <f t="shared" si="36"/>
        <v>182</v>
      </c>
      <c r="X2" s="1">
        <f t="shared" si="36"/>
        <v>75</v>
      </c>
      <c r="Y2" s="1">
        <f t="shared" si="36"/>
        <v>154</v>
      </c>
      <c r="Z2" s="1">
        <f t="shared" si="36"/>
        <v>32</v>
      </c>
      <c r="AA2" s="1">
        <f t="shared" si="36"/>
        <v>1406.5</v>
      </c>
      <c r="AB2" s="1">
        <f t="shared" si="36"/>
        <v>307</v>
      </c>
      <c r="AC2" s="1">
        <f t="shared" si="36"/>
        <v>1358</v>
      </c>
      <c r="AD2" s="1">
        <f t="shared" si="36"/>
        <v>240</v>
      </c>
      <c r="AE2" s="1">
        <f t="shared" si="36"/>
        <v>27</v>
      </c>
      <c r="AF2" s="1">
        <f t="shared" si="36"/>
        <v>5</v>
      </c>
      <c r="AG2" s="1">
        <f t="shared" si="36"/>
        <v>176</v>
      </c>
      <c r="AH2" s="1">
        <f t="shared" si="36"/>
        <v>29</v>
      </c>
      <c r="AI2" s="1">
        <f t="shared" si="36"/>
        <v>151</v>
      </c>
      <c r="AJ2" s="1">
        <f t="shared" si="36"/>
        <v>51</v>
      </c>
      <c r="AK2" s="1">
        <f t="shared" si="36"/>
        <v>121</v>
      </c>
      <c r="AL2" s="1">
        <f t="shared" si="36"/>
        <v>17</v>
      </c>
      <c r="AM2" s="1">
        <f t="shared" si="36"/>
        <v>514</v>
      </c>
      <c r="AN2" s="1">
        <f t="shared" si="36"/>
        <v>99</v>
      </c>
      <c r="AO2" s="1">
        <f t="shared" si="36"/>
        <v>-1</v>
      </c>
      <c r="AP2" s="1">
        <f t="shared" si="36"/>
        <v>12</v>
      </c>
      <c r="AQ2" s="1">
        <f t="shared" si="36"/>
        <v>381</v>
      </c>
      <c r="AR2" s="1">
        <f t="shared" si="36"/>
        <v>93</v>
      </c>
      <c r="AS2" s="1">
        <f t="shared" si="36"/>
        <v>8</v>
      </c>
      <c r="AT2" s="1">
        <f t="shared" si="36"/>
        <v>11</v>
      </c>
      <c r="AU2" s="1">
        <f t="shared" si="36"/>
        <v>34</v>
      </c>
      <c r="AV2" s="1">
        <f t="shared" si="36"/>
        <v>4</v>
      </c>
      <c r="AW2" s="1">
        <f t="shared" si="36"/>
        <v>14</v>
      </c>
      <c r="AX2" s="1">
        <f t="shared" si="36"/>
        <v>5</v>
      </c>
      <c r="AY2" s="1">
        <f t="shared" si="36"/>
        <v>43</v>
      </c>
      <c r="AZ2" s="1">
        <f t="shared" si="36"/>
        <v>13</v>
      </c>
      <c r="BA2" s="1">
        <f t="shared" ref="BA2:BD2" si="37">BA4+BA6+BA8</f>
        <v>34</v>
      </c>
      <c r="BB2" s="1">
        <f t="shared" si="37"/>
        <v>2</v>
      </c>
      <c r="BC2" s="1">
        <f t="shared" si="37"/>
        <v>121</v>
      </c>
      <c r="BD2" s="1">
        <f t="shared" si="37"/>
        <v>27</v>
      </c>
      <c r="BE2" s="1">
        <f t="shared" ref="BE2:BF2" si="38">BE4+BE6+BE8</f>
        <v>633</v>
      </c>
      <c r="BF2" s="1">
        <f t="shared" si="38"/>
        <v>130</v>
      </c>
      <c r="BG2" s="1">
        <f t="shared" ref="BG2:BL2" si="39">BG4+BG6+BG8</f>
        <v>93</v>
      </c>
      <c r="BH2" s="1">
        <f t="shared" si="39"/>
        <v>21</v>
      </c>
      <c r="BI2" s="1">
        <f t="shared" si="39"/>
        <v>92</v>
      </c>
      <c r="BJ2" s="1">
        <f t="shared" si="39"/>
        <v>30</v>
      </c>
      <c r="BK2" s="1">
        <f t="shared" si="39"/>
        <v>47</v>
      </c>
      <c r="BL2" s="1">
        <f t="shared" si="39"/>
        <v>11</v>
      </c>
      <c r="BM2" s="1">
        <f t="shared" ref="BM2:BV2" si="40">BM4+BM6+BM8</f>
        <v>53</v>
      </c>
      <c r="BN2" s="1">
        <f t="shared" si="40"/>
        <v>5</v>
      </c>
      <c r="BO2" s="1">
        <f t="shared" si="40"/>
        <v>33</v>
      </c>
      <c r="BP2" s="1">
        <f t="shared" si="40"/>
        <v>4</v>
      </c>
      <c r="BQ2" s="1">
        <f t="shared" si="40"/>
        <v>135</v>
      </c>
      <c r="BR2" s="1">
        <f t="shared" si="40"/>
        <v>20</v>
      </c>
      <c r="BS2" s="1">
        <f t="shared" si="40"/>
        <v>0</v>
      </c>
      <c r="BT2" s="1">
        <f t="shared" si="40"/>
        <v>0</v>
      </c>
      <c r="BU2" s="1">
        <f t="shared" si="40"/>
        <v>0</v>
      </c>
      <c r="BV2" s="1">
        <f t="shared" si="40"/>
        <v>0</v>
      </c>
    </row>
    <row r="3" spans="1:7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41">E4/F4</f>
        <v>3.3414634146341462</v>
      </c>
      <c r="F3" s="1" t="s">
        <v>2</v>
      </c>
      <c r="G3" s="1">
        <f t="shared" ref="G3" si="42">G4/H4</f>
        <v>7.2666666666666666</v>
      </c>
      <c r="H3" s="1" t="s">
        <v>2</v>
      </c>
      <c r="I3" s="1">
        <f t="shared" ref="I3" si="43">I4/J4</f>
        <v>7.78125</v>
      </c>
      <c r="J3" s="1" t="s">
        <v>2</v>
      </c>
      <c r="K3" s="1">
        <f t="shared" ref="K3" si="44">K4/L4</f>
        <v>5.5</v>
      </c>
      <c r="L3" s="1" t="s">
        <v>2</v>
      </c>
      <c r="M3" s="1">
        <f t="shared" ref="M3" si="45">M4/N4</f>
        <v>5.9268292682926829</v>
      </c>
      <c r="N3" s="1" t="s">
        <v>2</v>
      </c>
      <c r="O3" s="1">
        <f t="shared" ref="O3" si="46">O4/P4</f>
        <v>6</v>
      </c>
      <c r="P3" s="1" t="s">
        <v>2</v>
      </c>
      <c r="Q3" s="1" t="e">
        <f t="shared" ref="Q3" si="47">Q4/R4</f>
        <v>#DIV/0!</v>
      </c>
      <c r="R3" s="1" t="s">
        <v>2</v>
      </c>
      <c r="S3" s="1" t="e">
        <f t="shared" ref="S3" si="48">S4/T4</f>
        <v>#DIV/0!</v>
      </c>
      <c r="T3" s="1" t="s">
        <v>2</v>
      </c>
      <c r="U3" s="1">
        <f t="shared" ref="U3" si="49">U4/V4</f>
        <v>5.8181818181818183</v>
      </c>
      <c r="V3" s="1" t="s">
        <v>2</v>
      </c>
      <c r="W3" s="1">
        <f t="shared" ref="W3" si="50">W4/X4</f>
        <v>6.1111111111111107</v>
      </c>
      <c r="X3" s="1" t="s">
        <v>2</v>
      </c>
      <c r="Y3" s="1">
        <f t="shared" ref="Y3" si="51">Y4/Z4</f>
        <v>4.8125</v>
      </c>
      <c r="Z3" s="1" t="s">
        <v>2</v>
      </c>
      <c r="AA3" s="1">
        <f t="shared" ref="AA3" si="52">AA4/AB4</f>
        <v>4.2380952380952381</v>
      </c>
      <c r="AB3" s="1" t="s">
        <v>2</v>
      </c>
      <c r="AC3" s="1" t="e">
        <f t="shared" ref="AC3" si="53">AC4/AD4</f>
        <v>#DIV/0!</v>
      </c>
      <c r="AD3" s="1" t="s">
        <v>2</v>
      </c>
      <c r="AE3" s="1" t="e">
        <f t="shared" ref="AE3" si="54">AE4/AF4</f>
        <v>#DIV/0!</v>
      </c>
      <c r="AF3" s="1" t="s">
        <v>2</v>
      </c>
      <c r="AG3" s="1" t="e">
        <f t="shared" ref="AG3" si="55">AG4/AH4</f>
        <v>#DIV/0!</v>
      </c>
      <c r="AH3" s="1" t="s">
        <v>2</v>
      </c>
      <c r="AI3" s="1" t="e">
        <f t="shared" ref="AI3" si="56">AI4/AJ4</f>
        <v>#DIV/0!</v>
      </c>
      <c r="AJ3" s="1" t="s">
        <v>2</v>
      </c>
      <c r="AK3" s="1" t="e">
        <f t="shared" ref="AK3" si="57">AK4/AL4</f>
        <v>#DIV/0!</v>
      </c>
      <c r="AL3" s="1" t="s">
        <v>2</v>
      </c>
      <c r="AM3" s="1" t="e">
        <f t="shared" ref="AM3" si="58">AM4/AN4</f>
        <v>#DIV/0!</v>
      </c>
      <c r="AN3" s="1" t="s">
        <v>2</v>
      </c>
      <c r="AO3" s="1" t="e">
        <f t="shared" ref="AO3" si="59">AO4/AP4</f>
        <v>#DIV/0!</v>
      </c>
      <c r="AP3" s="1" t="s">
        <v>2</v>
      </c>
      <c r="AQ3" s="1" t="e">
        <f t="shared" ref="AQ3" si="60">AQ4/AR4</f>
        <v>#DIV/0!</v>
      </c>
      <c r="AR3" s="1" t="s">
        <v>2</v>
      </c>
      <c r="AS3" s="1" t="e">
        <f t="shared" ref="AS3" si="61">AS4/AT4</f>
        <v>#DIV/0!</v>
      </c>
      <c r="AT3" s="1" t="s">
        <v>2</v>
      </c>
      <c r="AU3" s="1" t="e">
        <f t="shared" ref="AU3" si="62">AU4/AV4</f>
        <v>#DIV/0!</v>
      </c>
      <c r="AV3" s="1" t="s">
        <v>2</v>
      </c>
      <c r="AW3" s="1" t="e">
        <f t="shared" ref="AW3" si="63">AW4/AX4</f>
        <v>#DIV/0!</v>
      </c>
      <c r="AX3" s="1" t="s">
        <v>2</v>
      </c>
      <c r="AY3" s="1" t="e">
        <f t="shared" ref="AY3" si="64">AY4/AZ4</f>
        <v>#DIV/0!</v>
      </c>
      <c r="AZ3" s="1" t="s">
        <v>2</v>
      </c>
      <c r="BA3" s="1" t="e">
        <f t="shared" ref="BA3" si="65">BA4/BB4</f>
        <v>#DIV/0!</v>
      </c>
      <c r="BB3" s="1" t="s">
        <v>2</v>
      </c>
      <c r="BC3" s="1" t="e">
        <f t="shared" ref="BC3" si="66">BC4/BD4</f>
        <v>#DIV/0!</v>
      </c>
      <c r="BD3" s="1" t="s">
        <v>2</v>
      </c>
      <c r="BE3" s="1" t="e">
        <f t="shared" ref="BE3" si="67">BE4/BF4</f>
        <v>#DIV/0!</v>
      </c>
      <c r="BF3" s="1" t="s">
        <v>2</v>
      </c>
      <c r="BG3" s="1" t="e">
        <f t="shared" ref="BG3" si="68">BG4/BH4</f>
        <v>#DIV/0!</v>
      </c>
      <c r="BH3" s="1" t="s">
        <v>2</v>
      </c>
      <c r="BI3" s="1" t="e">
        <f t="shared" ref="BI3" si="69">BI4/BJ4</f>
        <v>#DIV/0!</v>
      </c>
      <c r="BJ3" s="1" t="s">
        <v>2</v>
      </c>
      <c r="BK3" s="1" t="e">
        <f t="shared" ref="BK3" si="70">BK4/BL4</f>
        <v>#DIV/0!</v>
      </c>
      <c r="BL3" s="1" t="s">
        <v>2</v>
      </c>
      <c r="BM3" s="1" t="e">
        <f t="shared" ref="BM3" si="71">BM4/BN4</f>
        <v>#DIV/0!</v>
      </c>
      <c r="BN3" s="1" t="s">
        <v>2</v>
      </c>
      <c r="BO3" s="1" t="e">
        <f t="shared" ref="BO3" si="72">BO4/BP4</f>
        <v>#DIV/0!</v>
      </c>
      <c r="BP3" s="1" t="s">
        <v>2</v>
      </c>
      <c r="BQ3" s="1" t="e">
        <f t="shared" ref="BQ3" si="73">BQ4/BR4</f>
        <v>#DIV/0!</v>
      </c>
      <c r="BR3" s="1" t="s">
        <v>2</v>
      </c>
      <c r="BS3" s="1" t="e">
        <f t="shared" ref="BS3" si="74">BS4/BT4</f>
        <v>#DIV/0!</v>
      </c>
      <c r="BT3" s="1" t="s">
        <v>2</v>
      </c>
      <c r="BU3" s="1" t="e">
        <f t="shared" ref="BU3" si="75">BU4/BV4</f>
        <v>#DIV/0!</v>
      </c>
      <c r="BV3" s="1" t="s">
        <v>2</v>
      </c>
      <c r="BY3" s="1" t="s">
        <v>49</v>
      </c>
      <c r="CA3" s="1" t="s">
        <v>28</v>
      </c>
    </row>
    <row r="4" spans="1:79" x14ac:dyDescent="0.3">
      <c r="B4" s="1" t="s">
        <v>3</v>
      </c>
      <c r="C4" s="1">
        <f>SUM(C169:C180)</f>
        <v>620</v>
      </c>
      <c r="D4" s="1">
        <f>SUM(D169:D180)</f>
        <v>135</v>
      </c>
      <c r="E4" s="1">
        <f t="shared" ref="E4:J4" si="76">SUM(E169:E180)</f>
        <v>274</v>
      </c>
      <c r="F4" s="1">
        <f t="shared" si="76"/>
        <v>82</v>
      </c>
      <c r="G4" s="1">
        <f t="shared" si="76"/>
        <v>981</v>
      </c>
      <c r="H4" s="1">
        <f t="shared" si="76"/>
        <v>135</v>
      </c>
      <c r="I4" s="1">
        <f t="shared" si="76"/>
        <v>498</v>
      </c>
      <c r="J4" s="1">
        <f t="shared" si="76"/>
        <v>64</v>
      </c>
      <c r="K4" s="1">
        <f t="shared" ref="K4:AZ4" si="77">SUM(K169:K180)</f>
        <v>44</v>
      </c>
      <c r="L4" s="1">
        <f t="shared" si="77"/>
        <v>8</v>
      </c>
      <c r="M4" s="1">
        <f t="shared" si="77"/>
        <v>243</v>
      </c>
      <c r="N4" s="1">
        <f t="shared" si="77"/>
        <v>41</v>
      </c>
      <c r="O4" s="1">
        <f t="shared" si="77"/>
        <v>12</v>
      </c>
      <c r="P4" s="1">
        <f t="shared" si="77"/>
        <v>2</v>
      </c>
      <c r="Q4" s="1">
        <f t="shared" si="77"/>
        <v>0</v>
      </c>
      <c r="R4" s="1">
        <f t="shared" si="77"/>
        <v>0</v>
      </c>
      <c r="S4" s="1">
        <f t="shared" si="77"/>
        <v>0</v>
      </c>
      <c r="T4" s="1">
        <f t="shared" si="77"/>
        <v>0</v>
      </c>
      <c r="U4" s="1">
        <f t="shared" si="77"/>
        <v>64</v>
      </c>
      <c r="V4" s="1">
        <f t="shared" si="77"/>
        <v>11</v>
      </c>
      <c r="W4" s="1">
        <f t="shared" si="77"/>
        <v>55</v>
      </c>
      <c r="X4" s="1">
        <f t="shared" si="77"/>
        <v>9</v>
      </c>
      <c r="Y4" s="1">
        <f t="shared" si="77"/>
        <v>154</v>
      </c>
      <c r="Z4" s="1">
        <f t="shared" si="77"/>
        <v>32</v>
      </c>
      <c r="AA4" s="1">
        <f t="shared" si="77"/>
        <v>89</v>
      </c>
      <c r="AB4" s="1">
        <f t="shared" si="77"/>
        <v>21</v>
      </c>
      <c r="AC4" s="1">
        <f t="shared" si="77"/>
        <v>0</v>
      </c>
      <c r="AD4" s="1">
        <f t="shared" si="77"/>
        <v>0</v>
      </c>
      <c r="AE4" s="1">
        <f t="shared" si="77"/>
        <v>0</v>
      </c>
      <c r="AF4" s="1">
        <f t="shared" si="77"/>
        <v>0</v>
      </c>
      <c r="AG4" s="1">
        <f t="shared" si="77"/>
        <v>0</v>
      </c>
      <c r="AH4" s="1">
        <f t="shared" si="77"/>
        <v>0</v>
      </c>
      <c r="AI4" s="1">
        <f t="shared" si="77"/>
        <v>0</v>
      </c>
      <c r="AJ4" s="1">
        <f t="shared" si="77"/>
        <v>0</v>
      </c>
      <c r="AK4" s="1">
        <f t="shared" si="77"/>
        <v>0</v>
      </c>
      <c r="AL4" s="1">
        <f t="shared" si="77"/>
        <v>0</v>
      </c>
      <c r="AM4" s="1">
        <f t="shared" si="77"/>
        <v>0</v>
      </c>
      <c r="AN4" s="1">
        <f t="shared" si="77"/>
        <v>0</v>
      </c>
      <c r="AO4" s="1">
        <f t="shared" si="77"/>
        <v>0</v>
      </c>
      <c r="AP4" s="1">
        <f t="shared" si="77"/>
        <v>0</v>
      </c>
      <c r="AQ4" s="1">
        <f t="shared" si="77"/>
        <v>0</v>
      </c>
      <c r="AR4" s="1">
        <f t="shared" si="77"/>
        <v>0</v>
      </c>
      <c r="AS4" s="1">
        <f t="shared" si="77"/>
        <v>0</v>
      </c>
      <c r="AT4" s="1">
        <f t="shared" si="77"/>
        <v>0</v>
      </c>
      <c r="AU4" s="1">
        <f t="shared" si="77"/>
        <v>0</v>
      </c>
      <c r="AV4" s="1">
        <f t="shared" si="77"/>
        <v>0</v>
      </c>
      <c r="AW4" s="1">
        <f t="shared" si="77"/>
        <v>0</v>
      </c>
      <c r="AX4" s="1">
        <f t="shared" si="77"/>
        <v>0</v>
      </c>
      <c r="AY4" s="1">
        <f t="shared" si="77"/>
        <v>0</v>
      </c>
      <c r="AZ4" s="1">
        <f t="shared" si="77"/>
        <v>0</v>
      </c>
      <c r="BA4" s="1">
        <f t="shared" ref="BA4:BD4" si="78">SUM(BA169:BA180)</f>
        <v>0</v>
      </c>
      <c r="BB4" s="1">
        <f t="shared" si="78"/>
        <v>0</v>
      </c>
      <c r="BC4" s="1">
        <f t="shared" si="78"/>
        <v>0</v>
      </c>
      <c r="BD4" s="1">
        <f t="shared" si="78"/>
        <v>0</v>
      </c>
      <c r="BE4" s="1">
        <f t="shared" ref="BE4:BF4" si="79">SUM(BE169:BE180)</f>
        <v>0</v>
      </c>
      <c r="BF4" s="1">
        <f t="shared" si="79"/>
        <v>0</v>
      </c>
      <c r="BG4" s="1">
        <f t="shared" ref="BG4:BL4" si="80">SUM(BG169:BG180)</f>
        <v>0</v>
      </c>
      <c r="BH4" s="1">
        <f t="shared" si="80"/>
        <v>0</v>
      </c>
      <c r="BI4" s="1">
        <f t="shared" si="80"/>
        <v>0</v>
      </c>
      <c r="BJ4" s="1">
        <f t="shared" si="80"/>
        <v>0</v>
      </c>
      <c r="BK4" s="1">
        <f t="shared" si="80"/>
        <v>0</v>
      </c>
      <c r="BL4" s="1">
        <f t="shared" si="80"/>
        <v>0</v>
      </c>
      <c r="BM4" s="1">
        <f t="shared" ref="BM4:BV4" si="81">SUM(BM169:BM180)</f>
        <v>0</v>
      </c>
      <c r="BN4" s="1">
        <f t="shared" si="81"/>
        <v>0</v>
      </c>
      <c r="BO4" s="1">
        <f t="shared" si="81"/>
        <v>0</v>
      </c>
      <c r="BP4" s="1">
        <f t="shared" si="81"/>
        <v>0</v>
      </c>
      <c r="BQ4" s="1">
        <f t="shared" si="81"/>
        <v>0</v>
      </c>
      <c r="BR4" s="1">
        <f t="shared" si="81"/>
        <v>0</v>
      </c>
      <c r="BS4" s="1">
        <f t="shared" si="81"/>
        <v>0</v>
      </c>
      <c r="BT4" s="1">
        <f t="shared" si="81"/>
        <v>0</v>
      </c>
      <c r="BU4" s="1">
        <f t="shared" si="81"/>
        <v>0</v>
      </c>
      <c r="BV4" s="1">
        <f t="shared" si="81"/>
        <v>0</v>
      </c>
      <c r="BZ4" s="1" t="b">
        <f>NOT(OR("/",AVERAGE($C$1:$AL$1)&gt;AC$1,SMALL($C$1:$AL$1,1)=AC$1,SMALL($C$1:$AL$1,2)=AC$1,SMALL($C$1:$AL$1,3)=AC$1,LARGE($C$1:$AL$1,1)=AC$1,LARGE($C$1:$AL$1,2)=AC$1,LARGE($C$1:$AL$1,3)=AC$1))</f>
        <v>1</v>
      </c>
      <c r="CA4" s="1" t="e">
        <f>$C$10:$C$180,$E$10:$E$180,$G$10:$G$180,$I$10:$I$180,$K$10:$K$180,$M$10:$M$180,$O$10:$O$180,$Q$10:$Q$180,$S$10:$S$180,$U$10:$U$180,$W$10:$W$180,$Y$10:$Y$180,$AA$10:$AA$180,$AC$10:$AC$180,$AE$10:$AE$180,$AG$10:$AG$180,$AI$10:$AI$180,$AK$10:$AK$180,$AM$10:$AM$180,$AO$10:$AO$180,$AQ$10:$AQ$180,$AS$10:$AS$180,$AU$10:$AU$180,$AW$10:$AW$180,$AY$10:$AY$180,$BA$10:$BA$180,$BC$10:$BC$180,$BE$10:$BE$180</f>
        <v>#VALUE!</v>
      </c>
    </row>
    <row r="5" spans="1:7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82">E6/F6</f>
        <v>6.131455399061033</v>
      </c>
      <c r="F5" s="1" t="s">
        <v>2</v>
      </c>
      <c r="G5" s="1">
        <f t="shared" ref="G5" si="83">G6/H6</f>
        <v>6.8512820512820509</v>
      </c>
      <c r="H5" s="1" t="s">
        <v>2</v>
      </c>
      <c r="I5" s="1">
        <f t="shared" ref="I5" si="84">I6/J6</f>
        <v>6.5287356321839081</v>
      </c>
      <c r="J5" s="1" t="s">
        <v>2</v>
      </c>
      <c r="K5" s="1">
        <f t="shared" ref="K5" si="85">K6/L6</f>
        <v>6.6756756756756754</v>
      </c>
      <c r="L5" s="1" t="s">
        <v>2</v>
      </c>
      <c r="M5" s="1">
        <f t="shared" ref="M5" si="86">M6/N6</f>
        <v>3.8979591836734695</v>
      </c>
      <c r="N5" s="1" t="s">
        <v>2</v>
      </c>
      <c r="O5" s="1">
        <f t="shared" ref="O5" si="87">O6/P6</f>
        <v>5.85</v>
      </c>
      <c r="P5" s="1" t="s">
        <v>2</v>
      </c>
      <c r="Q5" s="1">
        <f t="shared" ref="Q5" si="88">Q6/R6</f>
        <v>5.8133333333333335</v>
      </c>
      <c r="R5" s="1" t="s">
        <v>2</v>
      </c>
      <c r="S5" s="1">
        <f t="shared" ref="S5" si="89">S6/T6</f>
        <v>7.1037735849056602</v>
      </c>
      <c r="T5" s="1" t="s">
        <v>2</v>
      </c>
      <c r="U5" s="1">
        <f t="shared" ref="U5" si="90">U6/V6</f>
        <v>2.096774193548387</v>
      </c>
      <c r="V5" s="1" t="s">
        <v>2</v>
      </c>
      <c r="W5" s="1">
        <f t="shared" ref="W5" si="91">W6/X6</f>
        <v>1.8214285714285714</v>
      </c>
      <c r="X5" s="1" t="s">
        <v>2</v>
      </c>
      <c r="Y5" s="1" t="e">
        <f t="shared" ref="Y5" si="92">Y6/Z6</f>
        <v>#DIV/0!</v>
      </c>
      <c r="Z5" s="1" t="s">
        <v>2</v>
      </c>
      <c r="AA5" s="1">
        <f t="shared" ref="AA5" si="93">AA6/AB6</f>
        <v>2.0249999999999999</v>
      </c>
      <c r="AB5" s="1" t="s">
        <v>2</v>
      </c>
      <c r="AC5" s="1">
        <f t="shared" ref="AC5" si="94">AC6/AD6</f>
        <v>1.6</v>
      </c>
      <c r="AD5" s="1" t="s">
        <v>2</v>
      </c>
      <c r="AE5" s="1">
        <f t="shared" ref="AE5" si="95">AE6/AF6</f>
        <v>9</v>
      </c>
      <c r="AF5" s="1" t="s">
        <v>2</v>
      </c>
      <c r="AG5" s="1">
        <f t="shared" ref="AG5" si="96">AG6/AH6</f>
        <v>6.068965517241379</v>
      </c>
      <c r="AH5" s="1" t="s">
        <v>2</v>
      </c>
      <c r="AI5" s="1" t="e">
        <f t="shared" ref="AI5" si="97">AI6/AJ6</f>
        <v>#DIV/0!</v>
      </c>
      <c r="AJ5" s="1" t="s">
        <v>2</v>
      </c>
      <c r="AK5" s="1">
        <f t="shared" ref="AK5" si="98">AK6/AL6</f>
        <v>7.117647058823529</v>
      </c>
      <c r="AL5" s="1" t="s">
        <v>2</v>
      </c>
      <c r="AM5" s="1" t="e">
        <f t="shared" ref="AM5" si="99">AM6/AN6</f>
        <v>#DIV/0!</v>
      </c>
      <c r="AN5" s="1" t="s">
        <v>2</v>
      </c>
      <c r="AO5" s="1" t="e">
        <f t="shared" ref="AO5" si="100">AO6/AP6</f>
        <v>#DIV/0!</v>
      </c>
      <c r="AP5" s="1" t="s">
        <v>2</v>
      </c>
      <c r="AQ5" s="1">
        <f t="shared" ref="AQ5" si="101">AQ6/AR6</f>
        <v>3.75</v>
      </c>
      <c r="AR5" s="1" t="s">
        <v>2</v>
      </c>
      <c r="AS5" s="1" t="e">
        <f t="shared" ref="AS5" si="102">AS6/AT6</f>
        <v>#DIV/0!</v>
      </c>
      <c r="AT5" s="1" t="s">
        <v>2</v>
      </c>
      <c r="AU5" s="1" t="e">
        <f t="shared" ref="AU5" si="103">AU6/AV6</f>
        <v>#DIV/0!</v>
      </c>
      <c r="AV5" s="1" t="s">
        <v>2</v>
      </c>
      <c r="AW5" s="1" t="e">
        <f t="shared" ref="AW5" si="104">AW6/AX6</f>
        <v>#DIV/0!</v>
      </c>
      <c r="AX5" s="1" t="s">
        <v>2</v>
      </c>
      <c r="AY5" s="1">
        <f t="shared" ref="AY5" si="105">AY6/AZ6</f>
        <v>2.75</v>
      </c>
      <c r="AZ5" s="1" t="s">
        <v>2</v>
      </c>
      <c r="BA5" s="1" t="e">
        <f t="shared" ref="BA5" si="106">BA6/BB6</f>
        <v>#DIV/0!</v>
      </c>
      <c r="BB5" s="1" t="s">
        <v>2</v>
      </c>
      <c r="BC5" s="1" t="e">
        <f t="shared" ref="BC5" si="107">BC6/BD6</f>
        <v>#DIV/0!</v>
      </c>
      <c r="BD5" s="1" t="s">
        <v>2</v>
      </c>
      <c r="BE5" s="1" t="e">
        <f t="shared" ref="BE5" si="108">BE6/BF6</f>
        <v>#DIV/0!</v>
      </c>
      <c r="BF5" s="1" t="s">
        <v>2</v>
      </c>
      <c r="BG5" s="1" t="e">
        <f t="shared" ref="BG5" si="109">BG6/BH6</f>
        <v>#DIV/0!</v>
      </c>
      <c r="BH5" s="1" t="s">
        <v>2</v>
      </c>
      <c r="BI5" s="1" t="e">
        <f t="shared" ref="BI5" si="110">BI6/BJ6</f>
        <v>#DIV/0!</v>
      </c>
      <c r="BJ5" s="1" t="s">
        <v>2</v>
      </c>
      <c r="BK5" s="1" t="e">
        <f t="shared" ref="BK5" si="111">BK6/BL6</f>
        <v>#DIV/0!</v>
      </c>
      <c r="BL5" s="1" t="s">
        <v>2</v>
      </c>
      <c r="BM5" s="1" t="e">
        <f t="shared" ref="BM5" si="112">BM6/BN6</f>
        <v>#DIV/0!</v>
      </c>
      <c r="BN5" s="1" t="s">
        <v>2</v>
      </c>
      <c r="BO5" s="1" t="e">
        <f t="shared" ref="BO5" si="113">BO6/BP6</f>
        <v>#DIV/0!</v>
      </c>
      <c r="BP5" s="1" t="s">
        <v>2</v>
      </c>
      <c r="BQ5" s="1" t="e">
        <f t="shared" ref="BQ5" si="114">BQ6/BR6</f>
        <v>#DIV/0!</v>
      </c>
      <c r="BR5" s="1" t="s">
        <v>2</v>
      </c>
      <c r="BS5" s="1" t="e">
        <f t="shared" ref="BS5" si="115">BS6/BT6</f>
        <v>#DIV/0!</v>
      </c>
      <c r="BT5" s="1" t="s">
        <v>2</v>
      </c>
      <c r="BU5" s="1" t="e">
        <f t="shared" ref="BU5" si="116">BU6/BV6</f>
        <v>#DIV/0!</v>
      </c>
      <c r="BV5" s="1" t="s">
        <v>2</v>
      </c>
      <c r="CA5" s="1" t="e">
        <f>$D$10:$D$180,$F$10:$F$180,$H$10:$H$180,$J$10:$J$180,$L$10:$L$180,$N$10:$N$180,$P$10:$P$180,$R$10:$R$180,$T$10:$T$180,$V$10:$V$180,$X$10:$X$180,$Z$10:$Z$180,$AB$10:$AB$180,$AD$10:$AD$180,$AF$10:$AF$180,$AH$10:$AH$180,$AJ$10:$AJ$180,$AL$10:$AL$180,$AN$10:$AN$180,$AP$10:$AP$180,$AR$10:$AR$180,$AT$10:$AT$180,$AV$10:$AV$180,$AX$10:$AX$180,$AZ$10:$AZ$180,$BB$10:$BB$180,$BD$10:$BD$180,$BF$10:$BF$180</f>
        <v>#VALUE!</v>
      </c>
    </row>
    <row r="6" spans="1:79" x14ac:dyDescent="0.3">
      <c r="B6" s="1" t="s">
        <v>3</v>
      </c>
      <c r="C6" s="1">
        <f>SUM(C125:C167)</f>
        <v>1804</v>
      </c>
      <c r="D6" s="1">
        <f>SUM(D125:D167)</f>
        <v>370</v>
      </c>
      <c r="E6" s="1">
        <f t="shared" ref="E6:J6" si="117">SUM(E125:E167)</f>
        <v>1306</v>
      </c>
      <c r="F6" s="1">
        <f t="shared" si="117"/>
        <v>213</v>
      </c>
      <c r="G6" s="1">
        <f t="shared" si="117"/>
        <v>2672</v>
      </c>
      <c r="H6" s="1">
        <f t="shared" si="117"/>
        <v>390</v>
      </c>
      <c r="I6" s="1">
        <f t="shared" si="117"/>
        <v>568</v>
      </c>
      <c r="J6" s="1">
        <f t="shared" si="117"/>
        <v>87</v>
      </c>
      <c r="K6" s="1">
        <f t="shared" ref="K6:AZ6" si="118">SUM(K125:K167)</f>
        <v>494</v>
      </c>
      <c r="L6" s="1">
        <f t="shared" si="118"/>
        <v>74</v>
      </c>
      <c r="M6" s="1">
        <f t="shared" si="118"/>
        <v>573</v>
      </c>
      <c r="N6" s="1">
        <f t="shared" si="118"/>
        <v>147</v>
      </c>
      <c r="O6" s="1">
        <f t="shared" si="118"/>
        <v>117</v>
      </c>
      <c r="P6" s="1">
        <f t="shared" si="118"/>
        <v>20</v>
      </c>
      <c r="Q6" s="1">
        <f t="shared" si="118"/>
        <v>436</v>
      </c>
      <c r="R6" s="1">
        <f t="shared" si="118"/>
        <v>75</v>
      </c>
      <c r="S6" s="1">
        <f t="shared" si="118"/>
        <v>753</v>
      </c>
      <c r="T6" s="1">
        <f t="shared" si="118"/>
        <v>106</v>
      </c>
      <c r="U6" s="1">
        <f t="shared" si="118"/>
        <v>65</v>
      </c>
      <c r="V6" s="1">
        <f t="shared" si="118"/>
        <v>31</v>
      </c>
      <c r="W6" s="1">
        <f t="shared" si="118"/>
        <v>51</v>
      </c>
      <c r="X6" s="1">
        <f t="shared" si="118"/>
        <v>28</v>
      </c>
      <c r="Y6" s="1">
        <f t="shared" si="118"/>
        <v>0</v>
      </c>
      <c r="Z6" s="1">
        <f t="shared" si="118"/>
        <v>0</v>
      </c>
      <c r="AA6" s="1">
        <f t="shared" si="118"/>
        <v>81</v>
      </c>
      <c r="AB6" s="1">
        <f t="shared" si="118"/>
        <v>40</v>
      </c>
      <c r="AC6" s="1">
        <f t="shared" si="118"/>
        <v>16</v>
      </c>
      <c r="AD6" s="1">
        <f t="shared" si="118"/>
        <v>10</v>
      </c>
      <c r="AE6" s="1">
        <f t="shared" si="118"/>
        <v>27</v>
      </c>
      <c r="AF6" s="1">
        <f t="shared" si="118"/>
        <v>3</v>
      </c>
      <c r="AG6" s="1">
        <f t="shared" si="118"/>
        <v>176</v>
      </c>
      <c r="AH6" s="1">
        <f t="shared" si="118"/>
        <v>29</v>
      </c>
      <c r="AI6" s="1">
        <f t="shared" si="118"/>
        <v>0</v>
      </c>
      <c r="AJ6" s="1">
        <f t="shared" si="118"/>
        <v>0</v>
      </c>
      <c r="AK6" s="1">
        <f t="shared" si="118"/>
        <v>121</v>
      </c>
      <c r="AL6" s="1">
        <f t="shared" si="118"/>
        <v>17</v>
      </c>
      <c r="AM6" s="1">
        <f t="shared" si="118"/>
        <v>0</v>
      </c>
      <c r="AN6" s="1">
        <f t="shared" si="118"/>
        <v>0</v>
      </c>
      <c r="AO6" s="1">
        <f t="shared" si="118"/>
        <v>0</v>
      </c>
      <c r="AP6" s="1">
        <f t="shared" si="118"/>
        <v>0</v>
      </c>
      <c r="AQ6" s="1">
        <f t="shared" si="118"/>
        <v>60</v>
      </c>
      <c r="AR6" s="1">
        <f t="shared" si="118"/>
        <v>16</v>
      </c>
      <c r="AS6" s="1">
        <f t="shared" si="118"/>
        <v>0</v>
      </c>
      <c r="AT6" s="1">
        <f t="shared" si="118"/>
        <v>0</v>
      </c>
      <c r="AU6" s="1">
        <f t="shared" si="118"/>
        <v>0</v>
      </c>
      <c r="AV6" s="1">
        <f t="shared" si="118"/>
        <v>0</v>
      </c>
      <c r="AW6" s="1">
        <f t="shared" si="118"/>
        <v>0</v>
      </c>
      <c r="AX6" s="1">
        <f t="shared" si="118"/>
        <v>0</v>
      </c>
      <c r="AY6" s="1">
        <f t="shared" si="118"/>
        <v>22</v>
      </c>
      <c r="AZ6" s="1">
        <f t="shared" si="118"/>
        <v>8</v>
      </c>
      <c r="BA6" s="1">
        <f t="shared" ref="BA6:BD6" si="119">SUM(BA125:BA167)</f>
        <v>0</v>
      </c>
      <c r="BB6" s="1">
        <f t="shared" si="119"/>
        <v>0</v>
      </c>
      <c r="BC6" s="1">
        <f t="shared" si="119"/>
        <v>0</v>
      </c>
      <c r="BD6" s="1">
        <f t="shared" si="119"/>
        <v>0</v>
      </c>
      <c r="BE6" s="1">
        <f t="shared" ref="BE6:BF6" si="120">SUM(BE125:BE167)</f>
        <v>0</v>
      </c>
      <c r="BF6" s="1">
        <f t="shared" si="120"/>
        <v>0</v>
      </c>
      <c r="BG6" s="1">
        <f t="shared" ref="BG6:BL6" si="121">SUM(BG125:BG167)</f>
        <v>0</v>
      </c>
      <c r="BH6" s="1">
        <f t="shared" si="121"/>
        <v>0</v>
      </c>
      <c r="BI6" s="1">
        <f t="shared" si="121"/>
        <v>0</v>
      </c>
      <c r="BJ6" s="1">
        <f t="shared" si="121"/>
        <v>0</v>
      </c>
      <c r="BK6" s="1">
        <f t="shared" si="121"/>
        <v>0</v>
      </c>
      <c r="BL6" s="1">
        <f t="shared" si="121"/>
        <v>0</v>
      </c>
      <c r="BM6" s="1">
        <f t="shared" ref="BM6:BV6" si="122">SUM(BM125:BM167)</f>
        <v>0</v>
      </c>
      <c r="BN6" s="1">
        <f t="shared" si="122"/>
        <v>0</v>
      </c>
      <c r="BO6" s="1">
        <f t="shared" si="122"/>
        <v>0</v>
      </c>
      <c r="BP6" s="1">
        <f t="shared" si="122"/>
        <v>0</v>
      </c>
      <c r="BQ6" s="1">
        <f t="shared" si="122"/>
        <v>0</v>
      </c>
      <c r="BR6" s="1">
        <f t="shared" si="122"/>
        <v>0</v>
      </c>
      <c r="BS6" s="1">
        <f t="shared" si="122"/>
        <v>0</v>
      </c>
      <c r="BT6" s="1">
        <f t="shared" si="122"/>
        <v>0</v>
      </c>
      <c r="BU6" s="1">
        <f t="shared" si="122"/>
        <v>0</v>
      </c>
      <c r="BV6" s="1">
        <f t="shared" si="122"/>
        <v>0</v>
      </c>
    </row>
    <row r="7" spans="1:7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23">E8/F8</f>
        <v>6.4809160305343507</v>
      </c>
      <c r="F7" s="15" t="s">
        <v>2</v>
      </c>
      <c r="G7" s="15">
        <f t="shared" ref="G7" si="124">G8/H8</f>
        <v>7.3173228346456689</v>
      </c>
      <c r="H7" s="15" t="s">
        <v>2</v>
      </c>
      <c r="I7" s="15">
        <f t="shared" ref="I7" si="125">I8/J8</f>
        <v>3.0166666666666666</v>
      </c>
      <c r="J7" s="15" t="s">
        <v>2</v>
      </c>
      <c r="K7" s="15">
        <f t="shared" ref="K7" si="126">K8/L8</f>
        <v>3.8518518518518516</v>
      </c>
      <c r="L7" s="15" t="s">
        <v>2</v>
      </c>
      <c r="M7" s="15">
        <f t="shared" ref="M7" si="127">M8/N8</f>
        <v>5.7945945945945949</v>
      </c>
      <c r="N7" s="15" t="s">
        <v>2</v>
      </c>
      <c r="O7" s="15">
        <f t="shared" ref="O7" si="128">O8/P8</f>
        <v>7.7894736842105265</v>
      </c>
      <c r="P7" s="15" t="s">
        <v>2</v>
      </c>
      <c r="Q7" s="15">
        <f t="shared" ref="Q7" si="129">Q8/R8</f>
        <v>6.387096774193548</v>
      </c>
      <c r="R7" s="15" t="s">
        <v>2</v>
      </c>
      <c r="S7" s="15">
        <f t="shared" ref="S7" si="130">S8/T8</f>
        <v>5.4923076923076923</v>
      </c>
      <c r="T7" s="15" t="s">
        <v>2</v>
      </c>
      <c r="U7" s="15">
        <f t="shared" ref="U7" si="131">U8/V8</f>
        <v>3.1458333333333335</v>
      </c>
      <c r="V7" s="15" t="s">
        <v>2</v>
      </c>
      <c r="W7" s="15">
        <f t="shared" ref="W7" si="132">W8/X8</f>
        <v>2</v>
      </c>
      <c r="X7" s="15" t="s">
        <v>2</v>
      </c>
      <c r="Y7" s="15" t="e">
        <f t="shared" ref="Y7" si="133">Y8/Z8</f>
        <v>#DIV/0!</v>
      </c>
      <c r="Z7" s="15" t="s">
        <v>2</v>
      </c>
      <c r="AA7" s="15">
        <f t="shared" ref="AA7" si="134">AA8/AB8</f>
        <v>5.0264227642276422</v>
      </c>
      <c r="AB7" s="15" t="s">
        <v>2</v>
      </c>
      <c r="AC7" s="15">
        <f t="shared" ref="AC7" si="135">AC8/AD8</f>
        <v>5.8347826086956518</v>
      </c>
      <c r="AD7" s="15" t="s">
        <v>2</v>
      </c>
      <c r="AE7" s="15">
        <f t="shared" ref="AE7" si="136">AE8/AF8</f>
        <v>0</v>
      </c>
      <c r="AF7" s="15" t="s">
        <v>2</v>
      </c>
      <c r="AG7" s="15" t="e">
        <f t="shared" ref="AG7" si="137">AG8/AH8</f>
        <v>#DIV/0!</v>
      </c>
      <c r="AH7" s="15" t="s">
        <v>2</v>
      </c>
      <c r="AI7" s="15">
        <f t="shared" ref="AI7" si="138">AI8/AJ8</f>
        <v>2.9607843137254903</v>
      </c>
      <c r="AJ7" s="15" t="s">
        <v>2</v>
      </c>
      <c r="AK7" s="15" t="e">
        <f t="shared" ref="AK7" si="139">AK8/AL8</f>
        <v>#DIV/0!</v>
      </c>
      <c r="AL7" s="15" t="s">
        <v>2</v>
      </c>
      <c r="AM7" s="15">
        <f t="shared" ref="AM7" si="140">AM8/AN8</f>
        <v>5.191919191919192</v>
      </c>
      <c r="AN7" s="15" t="s">
        <v>2</v>
      </c>
      <c r="AO7" s="15">
        <f t="shared" ref="AO7" si="141">AO8/AP8</f>
        <v>-8.3333333333333329E-2</v>
      </c>
      <c r="AP7" s="15" t="s">
        <v>2</v>
      </c>
      <c r="AQ7" s="15">
        <f t="shared" ref="AQ7" si="142">AQ8/AR8</f>
        <v>4.1688311688311686</v>
      </c>
      <c r="AR7" s="15" t="s">
        <v>2</v>
      </c>
      <c r="AS7" s="15">
        <f t="shared" ref="AS7" si="143">AS8/AT8</f>
        <v>0.72727272727272729</v>
      </c>
      <c r="AT7" s="15" t="s">
        <v>2</v>
      </c>
      <c r="AU7" s="15">
        <f t="shared" ref="AU7" si="144">AU8/AV8</f>
        <v>8.5</v>
      </c>
      <c r="AV7" s="15" t="s">
        <v>2</v>
      </c>
      <c r="AW7" s="15">
        <f t="shared" ref="AW7" si="145">AW8/AX8</f>
        <v>2.8</v>
      </c>
      <c r="AX7" s="15" t="s">
        <v>2</v>
      </c>
      <c r="AY7" s="15">
        <f t="shared" ref="AY7" si="146">AY8/AZ8</f>
        <v>4.2</v>
      </c>
      <c r="AZ7" s="15" t="s">
        <v>2</v>
      </c>
      <c r="BA7" s="15">
        <f t="shared" ref="BA7" si="147">BA8/BB8</f>
        <v>17</v>
      </c>
      <c r="BB7" s="15" t="s">
        <v>2</v>
      </c>
      <c r="BC7" s="15">
        <f t="shared" ref="BC7" si="148">BC8/BD8</f>
        <v>4.4814814814814818</v>
      </c>
      <c r="BD7" s="15" t="s">
        <v>2</v>
      </c>
      <c r="BE7" s="15">
        <f t="shared" ref="BE7" si="149">BE8/BF8</f>
        <v>4.8692307692307688</v>
      </c>
      <c r="BF7" s="15" t="s">
        <v>2</v>
      </c>
      <c r="BG7" s="15">
        <f t="shared" ref="BG7" si="150">BG8/BH8</f>
        <v>4.4285714285714288</v>
      </c>
      <c r="BH7" s="15" t="s">
        <v>2</v>
      </c>
      <c r="BI7" s="15">
        <f t="shared" ref="BI7" si="151">BI8/BJ8</f>
        <v>3.0666666666666669</v>
      </c>
      <c r="BJ7" s="15" t="s">
        <v>2</v>
      </c>
      <c r="BK7" s="15">
        <f t="shared" ref="BK7" si="152">BK8/BL8</f>
        <v>4.2727272727272725</v>
      </c>
      <c r="BL7" s="15" t="s">
        <v>2</v>
      </c>
      <c r="BM7" s="15">
        <f t="shared" ref="BM7" si="153">BM8/BN8</f>
        <v>10.6</v>
      </c>
      <c r="BN7" s="15" t="s">
        <v>2</v>
      </c>
      <c r="BO7" s="15">
        <f t="shared" ref="BO7" si="154">BO8/BP8</f>
        <v>8.25</v>
      </c>
      <c r="BP7" s="15" t="s">
        <v>2</v>
      </c>
      <c r="BQ7" s="15">
        <f t="shared" ref="BQ7" si="155">BQ8/BR8</f>
        <v>6.75</v>
      </c>
      <c r="BR7" s="15" t="s">
        <v>2</v>
      </c>
      <c r="BS7" s="15" t="e">
        <f t="shared" ref="BS7" si="156">BS8/BT8</f>
        <v>#DIV/0!</v>
      </c>
      <c r="BT7" s="15" t="s">
        <v>2</v>
      </c>
      <c r="BU7" s="15" t="e">
        <f t="shared" ref="BU7" si="157">BU8/BV8</f>
        <v>#DIV/0!</v>
      </c>
      <c r="BV7" s="15" t="s">
        <v>2</v>
      </c>
    </row>
    <row r="8" spans="1:79" x14ac:dyDescent="0.3">
      <c r="A8" s="15"/>
      <c r="B8" s="15" t="s">
        <v>3</v>
      </c>
      <c r="C8" s="15">
        <f>SUM(C10:C123)</f>
        <v>2058</v>
      </c>
      <c r="D8" s="15">
        <f>SUM(D10:D123)</f>
        <v>324</v>
      </c>
      <c r="E8" s="15">
        <f t="shared" ref="E8:J8" si="158">SUM(E10:E123)</f>
        <v>849</v>
      </c>
      <c r="F8" s="15">
        <f t="shared" si="158"/>
        <v>131</v>
      </c>
      <c r="G8" s="15">
        <f t="shared" si="158"/>
        <v>4646.5</v>
      </c>
      <c r="H8" s="15">
        <f t="shared" si="158"/>
        <v>635</v>
      </c>
      <c r="I8" s="15">
        <f t="shared" si="158"/>
        <v>181</v>
      </c>
      <c r="J8" s="15">
        <f t="shared" si="158"/>
        <v>60</v>
      </c>
      <c r="K8" s="15">
        <f t="shared" ref="K8:AZ8" si="159">SUM(K10:K123)</f>
        <v>104</v>
      </c>
      <c r="L8" s="15">
        <f t="shared" si="159"/>
        <v>27</v>
      </c>
      <c r="M8" s="15">
        <f t="shared" si="159"/>
        <v>3216</v>
      </c>
      <c r="N8" s="15">
        <f t="shared" si="159"/>
        <v>555</v>
      </c>
      <c r="O8" s="15">
        <f t="shared" si="159"/>
        <v>444</v>
      </c>
      <c r="P8" s="15">
        <f t="shared" si="159"/>
        <v>57</v>
      </c>
      <c r="Q8" s="15">
        <f t="shared" si="159"/>
        <v>1782</v>
      </c>
      <c r="R8" s="15">
        <f t="shared" si="159"/>
        <v>279</v>
      </c>
      <c r="S8" s="15">
        <f t="shared" si="159"/>
        <v>1071</v>
      </c>
      <c r="T8" s="15">
        <f t="shared" si="159"/>
        <v>195</v>
      </c>
      <c r="U8" s="15">
        <f t="shared" si="159"/>
        <v>453</v>
      </c>
      <c r="V8" s="15">
        <f t="shared" si="159"/>
        <v>144</v>
      </c>
      <c r="W8" s="15">
        <f t="shared" si="159"/>
        <v>76</v>
      </c>
      <c r="X8" s="15">
        <f t="shared" si="159"/>
        <v>38</v>
      </c>
      <c r="Y8" s="15">
        <f t="shared" si="159"/>
        <v>0</v>
      </c>
      <c r="Z8" s="15">
        <f t="shared" si="159"/>
        <v>0</v>
      </c>
      <c r="AA8" s="15">
        <f t="shared" si="159"/>
        <v>1236.5</v>
      </c>
      <c r="AB8" s="15">
        <f t="shared" si="159"/>
        <v>246</v>
      </c>
      <c r="AC8" s="15">
        <f t="shared" si="159"/>
        <v>1342</v>
      </c>
      <c r="AD8" s="15">
        <f t="shared" si="159"/>
        <v>230</v>
      </c>
      <c r="AE8" s="15">
        <f t="shared" si="159"/>
        <v>0</v>
      </c>
      <c r="AF8" s="15">
        <f t="shared" si="159"/>
        <v>2</v>
      </c>
      <c r="AG8" s="15">
        <f t="shared" si="159"/>
        <v>0</v>
      </c>
      <c r="AH8" s="15">
        <f t="shared" si="159"/>
        <v>0</v>
      </c>
      <c r="AI8" s="15">
        <f t="shared" si="159"/>
        <v>151</v>
      </c>
      <c r="AJ8" s="15">
        <f t="shared" si="159"/>
        <v>51</v>
      </c>
      <c r="AK8" s="15">
        <f t="shared" si="159"/>
        <v>0</v>
      </c>
      <c r="AL8" s="15">
        <f t="shared" si="159"/>
        <v>0</v>
      </c>
      <c r="AM8" s="15">
        <f t="shared" si="159"/>
        <v>514</v>
      </c>
      <c r="AN8" s="15">
        <f t="shared" si="159"/>
        <v>99</v>
      </c>
      <c r="AO8" s="15">
        <f t="shared" si="159"/>
        <v>-1</v>
      </c>
      <c r="AP8" s="15">
        <f t="shared" si="159"/>
        <v>12</v>
      </c>
      <c r="AQ8" s="15">
        <f t="shared" si="159"/>
        <v>321</v>
      </c>
      <c r="AR8" s="15">
        <f t="shared" si="159"/>
        <v>77</v>
      </c>
      <c r="AS8" s="15">
        <f t="shared" si="159"/>
        <v>8</v>
      </c>
      <c r="AT8" s="15">
        <f t="shared" si="159"/>
        <v>11</v>
      </c>
      <c r="AU8" s="15">
        <f t="shared" si="159"/>
        <v>34</v>
      </c>
      <c r="AV8" s="15">
        <f t="shared" si="159"/>
        <v>4</v>
      </c>
      <c r="AW8" s="15">
        <f t="shared" si="159"/>
        <v>14</v>
      </c>
      <c r="AX8" s="15">
        <f t="shared" si="159"/>
        <v>5</v>
      </c>
      <c r="AY8" s="15">
        <f t="shared" si="159"/>
        <v>21</v>
      </c>
      <c r="AZ8" s="15">
        <f t="shared" si="159"/>
        <v>5</v>
      </c>
      <c r="BA8" s="15">
        <f t="shared" ref="BA8:BD8" si="160">SUM(BA10:BA123)</f>
        <v>34</v>
      </c>
      <c r="BB8" s="15">
        <f t="shared" si="160"/>
        <v>2</v>
      </c>
      <c r="BC8" s="15">
        <f t="shared" si="160"/>
        <v>121</v>
      </c>
      <c r="BD8" s="15">
        <f t="shared" si="160"/>
        <v>27</v>
      </c>
      <c r="BE8" s="15">
        <f t="shared" ref="BE8:BF8" si="161">SUM(BE10:BE123)</f>
        <v>633</v>
      </c>
      <c r="BF8" s="15">
        <f t="shared" si="161"/>
        <v>130</v>
      </c>
      <c r="BG8" s="15">
        <f t="shared" ref="BG8:BL8" si="162">SUM(BG10:BG123)</f>
        <v>93</v>
      </c>
      <c r="BH8" s="15">
        <f t="shared" si="162"/>
        <v>21</v>
      </c>
      <c r="BI8" s="15">
        <f t="shared" si="162"/>
        <v>92</v>
      </c>
      <c r="BJ8" s="15">
        <f t="shared" si="162"/>
        <v>30</v>
      </c>
      <c r="BK8" s="15">
        <f t="shared" si="162"/>
        <v>47</v>
      </c>
      <c r="BL8" s="15">
        <f t="shared" si="162"/>
        <v>11</v>
      </c>
      <c r="BM8" s="15">
        <f t="shared" ref="BM8:BV8" si="163">SUM(BM10:BM123)</f>
        <v>53</v>
      </c>
      <c r="BN8" s="15">
        <f t="shared" si="163"/>
        <v>5</v>
      </c>
      <c r="BO8" s="15">
        <f t="shared" si="163"/>
        <v>33</v>
      </c>
      <c r="BP8" s="15">
        <f t="shared" si="163"/>
        <v>4</v>
      </c>
      <c r="BQ8" s="15">
        <f t="shared" si="163"/>
        <v>135</v>
      </c>
      <c r="BR8" s="15">
        <f t="shared" si="163"/>
        <v>20</v>
      </c>
      <c r="BS8" s="15">
        <f t="shared" si="163"/>
        <v>0</v>
      </c>
      <c r="BT8" s="15">
        <f t="shared" si="163"/>
        <v>0</v>
      </c>
      <c r="BU8" s="15">
        <f t="shared" si="163"/>
        <v>0</v>
      </c>
      <c r="BV8" s="15">
        <f t="shared" si="163"/>
        <v>0</v>
      </c>
    </row>
    <row r="9" spans="1:79" x14ac:dyDescent="0.3">
      <c r="C9" s="26" t="s">
        <v>70</v>
      </c>
      <c r="D9" s="26"/>
      <c r="E9" s="26" t="s">
        <v>71</v>
      </c>
      <c r="F9" s="26"/>
      <c r="G9" s="26" t="s">
        <v>72</v>
      </c>
      <c r="H9" s="26"/>
      <c r="I9" s="26" t="s">
        <v>73</v>
      </c>
      <c r="J9" s="26"/>
      <c r="K9" s="26" t="s">
        <v>74</v>
      </c>
      <c r="L9" s="26"/>
      <c r="M9" s="26" t="s">
        <v>75</v>
      </c>
      <c r="N9" s="26"/>
      <c r="O9" s="26" t="s">
        <v>76</v>
      </c>
      <c r="P9" s="26"/>
      <c r="Q9" s="26" t="s">
        <v>77</v>
      </c>
      <c r="R9" s="26"/>
      <c r="S9" s="26" t="s">
        <v>78</v>
      </c>
      <c r="T9" s="26"/>
      <c r="U9" s="26" t="s">
        <v>79</v>
      </c>
      <c r="V9" s="26"/>
      <c r="W9" s="26" t="s">
        <v>80</v>
      </c>
      <c r="X9" s="26"/>
      <c r="Y9" s="26" t="s">
        <v>81</v>
      </c>
      <c r="Z9" s="26"/>
      <c r="AA9" s="26" t="s">
        <v>82</v>
      </c>
      <c r="AB9" s="26"/>
      <c r="AC9" s="26" t="s">
        <v>6</v>
      </c>
      <c r="AD9" s="26"/>
      <c r="AE9" s="26" t="s">
        <v>83</v>
      </c>
      <c r="AF9" s="26"/>
      <c r="AG9" s="26" t="s">
        <v>84</v>
      </c>
      <c r="AH9" s="26"/>
      <c r="AI9" s="26" t="s">
        <v>85</v>
      </c>
      <c r="AJ9" s="26"/>
      <c r="AK9" s="26" t="s">
        <v>86</v>
      </c>
      <c r="AL9" s="26"/>
      <c r="AM9" s="25" t="s">
        <v>39</v>
      </c>
      <c r="AN9" s="25"/>
      <c r="AO9" s="25" t="s">
        <v>19</v>
      </c>
      <c r="AP9" s="25"/>
      <c r="AQ9" s="25" t="s">
        <v>20</v>
      </c>
      <c r="AR9" s="25"/>
      <c r="AS9" s="25" t="s">
        <v>87</v>
      </c>
      <c r="AT9" s="25"/>
      <c r="AU9" s="25" t="s">
        <v>21</v>
      </c>
      <c r="AV9" s="25"/>
      <c r="AW9" s="25" t="s">
        <v>88</v>
      </c>
      <c r="AX9" s="25"/>
      <c r="AY9" s="25" t="s">
        <v>89</v>
      </c>
      <c r="AZ9" s="25"/>
      <c r="BA9" s="26" t="s">
        <v>90</v>
      </c>
      <c r="BB9" s="26"/>
      <c r="BC9" s="26" t="s">
        <v>33</v>
      </c>
      <c r="BD9" s="26"/>
      <c r="BE9" s="26" t="s">
        <v>34</v>
      </c>
      <c r="BF9" s="26"/>
      <c r="BG9" s="25" t="s">
        <v>91</v>
      </c>
      <c r="BH9" s="25"/>
      <c r="BI9" s="26" t="s">
        <v>92</v>
      </c>
      <c r="BJ9" s="26"/>
      <c r="BK9" s="26" t="s">
        <v>93</v>
      </c>
      <c r="BL9" s="26"/>
      <c r="BM9" s="26" t="s">
        <v>95</v>
      </c>
      <c r="BN9" s="26"/>
      <c r="BO9" s="26" t="s">
        <v>96</v>
      </c>
      <c r="BP9" s="26"/>
      <c r="BQ9" s="26" t="s">
        <v>97</v>
      </c>
      <c r="BR9" s="26"/>
      <c r="BS9" s="26" t="s">
        <v>94</v>
      </c>
      <c r="BT9" s="26"/>
      <c r="BU9" s="26" t="s">
        <v>94</v>
      </c>
      <c r="BV9" s="26"/>
    </row>
    <row r="10" spans="1:79" x14ac:dyDescent="0.3">
      <c r="B10" s="1">
        <v>169</v>
      </c>
    </row>
    <row r="11" spans="1:79" x14ac:dyDescent="0.3">
      <c r="B11" s="1">
        <v>168</v>
      </c>
    </row>
    <row r="12" spans="1:79" x14ac:dyDescent="0.3">
      <c r="B12" s="1">
        <v>167</v>
      </c>
    </row>
    <row r="13" spans="1:79" x14ac:dyDescent="0.3">
      <c r="B13" s="1">
        <v>166</v>
      </c>
    </row>
    <row r="14" spans="1:79" x14ac:dyDescent="0.3">
      <c r="B14" s="1">
        <v>165</v>
      </c>
    </row>
    <row r="15" spans="1:79" x14ac:dyDescent="0.3">
      <c r="B15" s="1">
        <v>164</v>
      </c>
    </row>
    <row r="16" spans="1:79" x14ac:dyDescent="0.3">
      <c r="B16" s="1">
        <v>163</v>
      </c>
    </row>
    <row r="17" spans="1:70" x14ac:dyDescent="0.3">
      <c r="B17" s="1">
        <v>162</v>
      </c>
    </row>
    <row r="18" spans="1:70" x14ac:dyDescent="0.3">
      <c r="B18" s="1">
        <v>161</v>
      </c>
    </row>
    <row r="19" spans="1:70" x14ac:dyDescent="0.3">
      <c r="B19" s="1">
        <v>160</v>
      </c>
    </row>
    <row r="20" spans="1:70" x14ac:dyDescent="0.3">
      <c r="B20" s="1">
        <v>159</v>
      </c>
    </row>
    <row r="21" spans="1:70" x14ac:dyDescent="0.3">
      <c r="B21" s="1">
        <v>158</v>
      </c>
      <c r="M21" s="1">
        <v>26</v>
      </c>
      <c r="N21" s="1">
        <v>1</v>
      </c>
      <c r="Q21" s="1">
        <v>35</v>
      </c>
      <c r="R21" s="1">
        <v>5</v>
      </c>
      <c r="S21" s="1">
        <v>41</v>
      </c>
      <c r="T21" s="1">
        <v>6</v>
      </c>
      <c r="AC21" s="1">
        <v>43</v>
      </c>
      <c r="AD21" s="1">
        <v>5</v>
      </c>
      <c r="BG21" s="1">
        <v>11</v>
      </c>
      <c r="BH21" s="1">
        <v>6</v>
      </c>
      <c r="BK21" s="1">
        <v>47</v>
      </c>
      <c r="BL21" s="1">
        <v>5</v>
      </c>
    </row>
    <row r="22" spans="1:70" x14ac:dyDescent="0.3">
      <c r="B22" s="1">
        <v>157</v>
      </c>
      <c r="G22" s="1">
        <v>33</v>
      </c>
      <c r="H22" s="1">
        <v>8</v>
      </c>
      <c r="M22" s="1">
        <v>14</v>
      </c>
      <c r="N22" s="1">
        <v>8</v>
      </c>
      <c r="AM22" s="1">
        <v>68</v>
      </c>
      <c r="AN22" s="1">
        <v>8</v>
      </c>
      <c r="BE22" s="1">
        <v>50</v>
      </c>
      <c r="BF22" s="1">
        <v>8</v>
      </c>
    </row>
    <row r="23" spans="1:70" x14ac:dyDescent="0.3">
      <c r="B23" s="1">
        <v>156</v>
      </c>
      <c r="G23" s="1">
        <v>23</v>
      </c>
      <c r="H23" s="1">
        <v>3</v>
      </c>
      <c r="M23" s="1">
        <v>11</v>
      </c>
      <c r="N23" s="1">
        <v>1</v>
      </c>
      <c r="AA23" s="1">
        <v>-18</v>
      </c>
      <c r="AB23" s="1">
        <v>4</v>
      </c>
      <c r="AM23" s="1">
        <v>59</v>
      </c>
      <c r="AN23" s="1">
        <v>5</v>
      </c>
      <c r="BE23" s="1">
        <v>-11</v>
      </c>
      <c r="BF23" s="1">
        <v>2</v>
      </c>
      <c r="BI23" s="1">
        <v>12</v>
      </c>
      <c r="BJ23" s="1">
        <v>5</v>
      </c>
    </row>
    <row r="24" spans="1:70" x14ac:dyDescent="0.3">
      <c r="B24" s="1">
        <v>155</v>
      </c>
      <c r="G24" s="1">
        <v>92</v>
      </c>
      <c r="H24" s="1">
        <v>9</v>
      </c>
      <c r="S24" s="1">
        <v>69</v>
      </c>
      <c r="T24" s="1">
        <v>9</v>
      </c>
      <c r="AA24" s="1">
        <v>67</v>
      </c>
      <c r="AB24" s="1">
        <v>9</v>
      </c>
      <c r="BI24" s="1">
        <v>17</v>
      </c>
      <c r="BJ24" s="1">
        <v>9</v>
      </c>
    </row>
    <row r="25" spans="1:70" x14ac:dyDescent="0.3">
      <c r="B25" s="1">
        <v>154</v>
      </c>
      <c r="G25" s="1">
        <v>110</v>
      </c>
      <c r="H25" s="1">
        <v>20</v>
      </c>
      <c r="Q25" s="1">
        <v>88</v>
      </c>
      <c r="R25" s="1">
        <v>20</v>
      </c>
      <c r="AA25" s="1">
        <v>127</v>
      </c>
      <c r="AB25" s="1">
        <v>20</v>
      </c>
      <c r="BQ25" s="1">
        <v>135</v>
      </c>
      <c r="BR25" s="1">
        <v>20</v>
      </c>
    </row>
    <row r="26" spans="1:70" x14ac:dyDescent="0.3">
      <c r="B26" s="1">
        <v>153</v>
      </c>
      <c r="E26" s="1">
        <v>11</v>
      </c>
      <c r="F26" s="1">
        <v>1</v>
      </c>
      <c r="Q26" s="1">
        <v>-11</v>
      </c>
      <c r="R26" s="1">
        <v>1</v>
      </c>
      <c r="AA26" s="1">
        <v>11</v>
      </c>
      <c r="AB26" s="1">
        <v>1</v>
      </c>
      <c r="BM26" s="1">
        <v>-11</v>
      </c>
      <c r="BN26" s="1">
        <v>1</v>
      </c>
    </row>
    <row r="27" spans="1:70" x14ac:dyDescent="0.3">
      <c r="B27" s="1">
        <v>152</v>
      </c>
      <c r="E27" s="1">
        <v>-11</v>
      </c>
      <c r="F27" s="1">
        <v>4</v>
      </c>
      <c r="G27" s="1">
        <v>38</v>
      </c>
      <c r="H27" s="1">
        <v>4</v>
      </c>
      <c r="Q27" s="1">
        <v>-13</v>
      </c>
      <c r="R27" s="1">
        <v>4</v>
      </c>
      <c r="BM27" s="1">
        <v>64</v>
      </c>
      <c r="BN27" s="1">
        <v>4</v>
      </c>
      <c r="BO27" s="1">
        <v>33</v>
      </c>
      <c r="BP27" s="1">
        <v>4</v>
      </c>
    </row>
    <row r="28" spans="1:70" x14ac:dyDescent="0.3">
      <c r="B28" s="1">
        <v>151</v>
      </c>
      <c r="G28" s="1">
        <v>65</v>
      </c>
      <c r="H28" s="1">
        <v>8</v>
      </c>
      <c r="M28" s="1">
        <v>31</v>
      </c>
      <c r="N28" s="1">
        <v>8</v>
      </c>
      <c r="Q28" s="1">
        <v>62</v>
      </c>
      <c r="R28" s="1">
        <v>8</v>
      </c>
      <c r="U28" s="1">
        <v>46</v>
      </c>
      <c r="V28" s="1">
        <v>8</v>
      </c>
      <c r="AA28" s="1">
        <v>35</v>
      </c>
      <c r="AB28" s="1">
        <v>8</v>
      </c>
    </row>
    <row r="29" spans="1:70" x14ac:dyDescent="0.3">
      <c r="A29" s="1" t="s">
        <v>7</v>
      </c>
      <c r="B29" s="1">
        <v>150</v>
      </c>
      <c r="Q29" s="1">
        <v>105</v>
      </c>
      <c r="R29" s="1">
        <v>12</v>
      </c>
      <c r="S29" s="1">
        <v>150</v>
      </c>
      <c r="T29" s="1">
        <v>12</v>
      </c>
      <c r="AC29" s="1">
        <v>45</v>
      </c>
      <c r="AD29" s="1">
        <v>12</v>
      </c>
      <c r="BE29" s="1">
        <v>41</v>
      </c>
      <c r="BF29" s="1">
        <v>12</v>
      </c>
    </row>
    <row r="30" spans="1:70" x14ac:dyDescent="0.3">
      <c r="A30" s="1" t="s">
        <v>7</v>
      </c>
      <c r="B30" s="1">
        <v>149</v>
      </c>
      <c r="G30" s="1">
        <v>26</v>
      </c>
      <c r="H30" s="1">
        <v>10</v>
      </c>
      <c r="M30" s="1">
        <v>74</v>
      </c>
      <c r="N30" s="1">
        <v>11</v>
      </c>
      <c r="S30" s="1">
        <v>39</v>
      </c>
      <c r="T30" s="1">
        <v>10</v>
      </c>
      <c r="AA30" s="1">
        <v>42</v>
      </c>
      <c r="AB30" s="1">
        <v>11</v>
      </c>
      <c r="AC30" s="1">
        <v>55</v>
      </c>
      <c r="AD30" s="1">
        <v>10</v>
      </c>
    </row>
    <row r="31" spans="1:70" x14ac:dyDescent="0.3">
      <c r="A31" s="1" t="s">
        <v>7</v>
      </c>
      <c r="B31" s="1">
        <v>148</v>
      </c>
      <c r="G31" s="1">
        <v>52</v>
      </c>
      <c r="H31" s="1">
        <v>6</v>
      </c>
      <c r="M31" s="1">
        <v>0</v>
      </c>
      <c r="N31" s="1">
        <v>2</v>
      </c>
      <c r="S31" s="1">
        <v>28</v>
      </c>
      <c r="T31" s="1">
        <v>3</v>
      </c>
      <c r="AC31" s="1">
        <v>64</v>
      </c>
      <c r="AD31" s="1">
        <v>6</v>
      </c>
      <c r="BG31" s="1">
        <v>0</v>
      </c>
      <c r="BH31" s="1">
        <v>1</v>
      </c>
      <c r="BK31" s="1">
        <v>0</v>
      </c>
      <c r="BL31" s="1">
        <v>6</v>
      </c>
    </row>
    <row r="32" spans="1:70" x14ac:dyDescent="0.3">
      <c r="A32" s="1" t="s">
        <v>7</v>
      </c>
      <c r="B32" s="1">
        <v>147</v>
      </c>
      <c r="G32" s="1">
        <v>28</v>
      </c>
      <c r="H32" s="1">
        <v>6</v>
      </c>
      <c r="M32" s="1">
        <v>105</v>
      </c>
      <c r="N32" s="1">
        <v>6</v>
      </c>
      <c r="AA32" s="1">
        <v>13</v>
      </c>
      <c r="AB32" s="1">
        <v>6</v>
      </c>
      <c r="BG32" s="1">
        <v>13</v>
      </c>
      <c r="BH32" s="1">
        <v>6</v>
      </c>
    </row>
    <row r="33" spans="1:62" x14ac:dyDescent="0.3">
      <c r="A33" s="1" t="s">
        <v>7</v>
      </c>
      <c r="B33" s="1">
        <v>146</v>
      </c>
      <c r="G33" s="1">
        <v>83</v>
      </c>
      <c r="H33" s="1">
        <v>8</v>
      </c>
      <c r="M33" s="1">
        <v>10</v>
      </c>
      <c r="N33" s="1">
        <v>8</v>
      </c>
      <c r="AC33" s="1">
        <v>68</v>
      </c>
      <c r="AD33" s="1">
        <v>8</v>
      </c>
      <c r="BE33" s="1">
        <v>29</v>
      </c>
      <c r="BF33" s="1">
        <v>8</v>
      </c>
    </row>
    <row r="34" spans="1:62" x14ac:dyDescent="0.3">
      <c r="A34" s="1" t="s">
        <v>7</v>
      </c>
      <c r="B34" s="1">
        <v>145</v>
      </c>
      <c r="Q34" s="1">
        <v>98</v>
      </c>
      <c r="R34" s="1">
        <v>8</v>
      </c>
      <c r="S34" s="1">
        <v>22</v>
      </c>
      <c r="T34" s="1">
        <v>8</v>
      </c>
      <c r="AA34" s="1">
        <v>57</v>
      </c>
      <c r="AB34" s="1">
        <v>8</v>
      </c>
      <c r="AC34" s="1">
        <v>35</v>
      </c>
      <c r="AD34" s="1">
        <v>8</v>
      </c>
    </row>
    <row r="35" spans="1:62" x14ac:dyDescent="0.3">
      <c r="A35" s="1" t="s">
        <v>7</v>
      </c>
      <c r="B35" s="1">
        <v>144</v>
      </c>
      <c r="G35" s="1">
        <v>38</v>
      </c>
      <c r="H35" s="1">
        <v>8</v>
      </c>
      <c r="M35" s="1">
        <v>55</v>
      </c>
      <c r="N35" s="1">
        <v>8</v>
      </c>
      <c r="BE35" s="1">
        <v>35</v>
      </c>
      <c r="BF35" s="1">
        <v>8</v>
      </c>
      <c r="BI35" s="1">
        <v>9</v>
      </c>
      <c r="BJ35" s="1">
        <v>8</v>
      </c>
    </row>
    <row r="36" spans="1:62" x14ac:dyDescent="0.3">
      <c r="A36" s="1" t="s">
        <v>7</v>
      </c>
      <c r="B36" s="1">
        <v>143</v>
      </c>
      <c r="G36" s="1">
        <v>82</v>
      </c>
      <c r="H36" s="1">
        <v>6</v>
      </c>
      <c r="M36" s="1">
        <v>60</v>
      </c>
      <c r="N36" s="1">
        <v>7</v>
      </c>
      <c r="S36" s="1">
        <v>4</v>
      </c>
      <c r="T36" s="1">
        <v>6</v>
      </c>
      <c r="AA36" s="1">
        <v>64</v>
      </c>
      <c r="AB36" s="1">
        <v>6</v>
      </c>
      <c r="AC36" s="1">
        <v>13</v>
      </c>
      <c r="AD36" s="1">
        <v>7</v>
      </c>
    </row>
    <row r="37" spans="1:62" x14ac:dyDescent="0.3">
      <c r="A37" s="1" t="s">
        <v>7</v>
      </c>
      <c r="B37" s="1">
        <v>142</v>
      </c>
      <c r="G37" s="1">
        <v>51</v>
      </c>
      <c r="H37" s="1">
        <v>8</v>
      </c>
      <c r="W37" s="1">
        <v>43</v>
      </c>
      <c r="X37" s="1">
        <v>8</v>
      </c>
      <c r="AC37" s="1">
        <v>32</v>
      </c>
      <c r="AD37" s="1">
        <v>8</v>
      </c>
      <c r="BI37" s="1">
        <v>54</v>
      </c>
      <c r="BJ37" s="1">
        <v>8</v>
      </c>
    </row>
    <row r="38" spans="1:62" x14ac:dyDescent="0.3">
      <c r="A38" s="1" t="s">
        <v>7</v>
      </c>
      <c r="B38" s="1">
        <v>141</v>
      </c>
      <c r="M38" s="1">
        <v>11</v>
      </c>
      <c r="N38" s="1">
        <v>2</v>
      </c>
      <c r="Q38" s="1">
        <v>0</v>
      </c>
      <c r="R38" s="1">
        <v>2</v>
      </c>
      <c r="S38" s="1">
        <v>11</v>
      </c>
      <c r="T38" s="1">
        <v>2</v>
      </c>
      <c r="AC38" s="1">
        <v>18</v>
      </c>
      <c r="AD38" s="1">
        <v>2</v>
      </c>
    </row>
    <row r="39" spans="1:62" x14ac:dyDescent="0.3">
      <c r="A39" s="1" t="s">
        <v>7</v>
      </c>
      <c r="B39" s="1">
        <v>140</v>
      </c>
      <c r="M39" s="1">
        <v>24</v>
      </c>
      <c r="N39" s="1">
        <v>8</v>
      </c>
      <c r="Q39" s="1">
        <v>28</v>
      </c>
      <c r="R39" s="1">
        <v>8</v>
      </c>
      <c r="S39" s="1">
        <v>53</v>
      </c>
      <c r="T39" s="1">
        <v>8</v>
      </c>
      <c r="AC39" s="1">
        <v>76</v>
      </c>
      <c r="AD39" s="1">
        <v>8</v>
      </c>
    </row>
    <row r="40" spans="1:62" x14ac:dyDescent="0.3">
      <c r="A40" s="1" t="s">
        <v>7</v>
      </c>
      <c r="B40" s="1">
        <v>139</v>
      </c>
      <c r="M40" s="1">
        <v>38</v>
      </c>
      <c r="N40" s="1">
        <v>10</v>
      </c>
      <c r="O40" s="1">
        <v>63</v>
      </c>
      <c r="P40" s="1">
        <v>10</v>
      </c>
      <c r="Q40" s="1">
        <v>120</v>
      </c>
      <c r="R40" s="1">
        <v>10</v>
      </c>
      <c r="AA40" s="1">
        <v>39</v>
      </c>
      <c r="AB40" s="1">
        <v>10</v>
      </c>
    </row>
    <row r="41" spans="1:62" x14ac:dyDescent="0.3">
      <c r="A41" s="1" t="s">
        <v>7</v>
      </c>
      <c r="B41" s="1">
        <v>138</v>
      </c>
      <c r="G41" s="1">
        <v>-8</v>
      </c>
      <c r="H41" s="1">
        <v>1</v>
      </c>
      <c r="M41" s="1">
        <v>8</v>
      </c>
      <c r="N41" s="1">
        <v>1</v>
      </c>
      <c r="Q41" s="1">
        <v>-8</v>
      </c>
      <c r="R41" s="1">
        <v>1</v>
      </c>
      <c r="S41" s="1">
        <v>8</v>
      </c>
      <c r="T41" s="1">
        <v>1</v>
      </c>
    </row>
    <row r="42" spans="1:62" x14ac:dyDescent="0.3">
      <c r="A42" s="1" t="s">
        <v>7</v>
      </c>
      <c r="B42" s="1">
        <v>137</v>
      </c>
      <c r="G42" s="1">
        <v>25</v>
      </c>
      <c r="H42" s="1">
        <v>3</v>
      </c>
      <c r="M42" s="1">
        <v>0</v>
      </c>
      <c r="N42" s="1">
        <v>3</v>
      </c>
      <c r="S42" s="1">
        <v>22</v>
      </c>
      <c r="T42" s="1">
        <v>3</v>
      </c>
      <c r="AC42" s="1">
        <v>19</v>
      </c>
      <c r="AD42" s="1">
        <v>3</v>
      </c>
    </row>
    <row r="43" spans="1:62" x14ac:dyDescent="0.3">
      <c r="A43" s="1" t="s">
        <v>7</v>
      </c>
      <c r="B43" s="1">
        <v>136</v>
      </c>
      <c r="M43" s="1">
        <v>-31</v>
      </c>
      <c r="N43" s="1">
        <v>8</v>
      </c>
      <c r="Q43" s="1">
        <v>89</v>
      </c>
      <c r="R43" s="1">
        <v>8</v>
      </c>
      <c r="S43" s="1">
        <v>15</v>
      </c>
      <c r="T43" s="1">
        <v>8</v>
      </c>
      <c r="AC43" s="1">
        <v>104</v>
      </c>
      <c r="AD43" s="1">
        <v>8</v>
      </c>
      <c r="BE43" s="1">
        <v>56</v>
      </c>
      <c r="BF43" s="1">
        <v>8</v>
      </c>
    </row>
    <row r="44" spans="1:62" x14ac:dyDescent="0.3">
      <c r="A44" s="1" t="s">
        <v>7</v>
      </c>
      <c r="B44" s="1">
        <v>135</v>
      </c>
      <c r="G44" s="1">
        <v>42</v>
      </c>
      <c r="H44" s="1">
        <v>8</v>
      </c>
      <c r="M44" s="1">
        <v>76</v>
      </c>
      <c r="N44" s="1">
        <v>8</v>
      </c>
      <c r="S44" s="1">
        <v>50</v>
      </c>
      <c r="T44" s="1">
        <v>8</v>
      </c>
      <c r="BE44" s="1">
        <v>11</v>
      </c>
      <c r="BF44" s="1">
        <v>8</v>
      </c>
    </row>
    <row r="45" spans="1:62" x14ac:dyDescent="0.3">
      <c r="A45" s="1" t="s">
        <v>7</v>
      </c>
      <c r="B45" s="1">
        <v>134</v>
      </c>
      <c r="G45" s="1">
        <v>51</v>
      </c>
      <c r="H45" s="1">
        <v>8</v>
      </c>
      <c r="M45" s="1">
        <v>66</v>
      </c>
      <c r="N45" s="1">
        <v>8</v>
      </c>
      <c r="S45" s="1">
        <v>25</v>
      </c>
      <c r="T45" s="1">
        <v>8</v>
      </c>
      <c r="BG45" s="1">
        <v>69</v>
      </c>
      <c r="BH45" s="1">
        <v>8</v>
      </c>
    </row>
    <row r="46" spans="1:62" x14ac:dyDescent="0.3">
      <c r="B46" s="1">
        <v>133</v>
      </c>
      <c r="C46" s="1">
        <v>76</v>
      </c>
      <c r="D46" s="1">
        <v>5</v>
      </c>
      <c r="G46" s="1">
        <v>49</v>
      </c>
      <c r="H46" s="1">
        <v>5</v>
      </c>
      <c r="K46" s="1">
        <v>-3</v>
      </c>
      <c r="L46" s="1">
        <v>5</v>
      </c>
      <c r="Q46" s="1">
        <v>24</v>
      </c>
      <c r="R46" s="1">
        <v>5</v>
      </c>
    </row>
    <row r="47" spans="1:62" x14ac:dyDescent="0.3">
      <c r="A47" s="1" t="s">
        <v>7</v>
      </c>
      <c r="B47" s="1">
        <v>132</v>
      </c>
      <c r="G47" s="1">
        <v>48</v>
      </c>
      <c r="H47" s="1">
        <v>16</v>
      </c>
      <c r="M47" s="1">
        <v>86</v>
      </c>
      <c r="N47" s="1">
        <v>16</v>
      </c>
      <c r="S47" s="1">
        <v>108</v>
      </c>
      <c r="T47" s="1">
        <v>16</v>
      </c>
      <c r="AA47" s="1">
        <v>92</v>
      </c>
      <c r="AB47" s="1">
        <v>16</v>
      </c>
      <c r="AC47" s="1">
        <v>127</v>
      </c>
      <c r="AD47" s="1">
        <v>16</v>
      </c>
    </row>
    <row r="48" spans="1:62" x14ac:dyDescent="0.3">
      <c r="A48" s="1" t="s">
        <v>7</v>
      </c>
      <c r="B48" s="1">
        <v>131</v>
      </c>
      <c r="M48" s="1">
        <v>48</v>
      </c>
      <c r="N48" s="1">
        <v>10</v>
      </c>
      <c r="AM48" s="1">
        <v>54</v>
      </c>
      <c r="AN48" s="1">
        <v>10</v>
      </c>
      <c r="AQ48" s="1">
        <v>23</v>
      </c>
      <c r="AR48" s="1">
        <v>10</v>
      </c>
      <c r="BC48" s="1">
        <v>57</v>
      </c>
      <c r="BD48" s="1">
        <v>10</v>
      </c>
    </row>
    <row r="49" spans="1:58" x14ac:dyDescent="0.3">
      <c r="A49" s="1" t="s">
        <v>7</v>
      </c>
      <c r="B49" s="1">
        <v>130</v>
      </c>
      <c r="M49" s="1">
        <v>112</v>
      </c>
      <c r="N49" s="1">
        <v>16</v>
      </c>
      <c r="Q49" s="1">
        <v>67</v>
      </c>
      <c r="R49" s="1">
        <v>16</v>
      </c>
      <c r="AM49" s="1">
        <v>157</v>
      </c>
      <c r="AN49" s="1">
        <v>16</v>
      </c>
      <c r="AQ49" s="1">
        <v>22</v>
      </c>
      <c r="AR49" s="1">
        <v>16</v>
      </c>
    </row>
    <row r="50" spans="1:58" x14ac:dyDescent="0.3">
      <c r="A50" s="1" t="s">
        <v>7</v>
      </c>
      <c r="B50" s="1">
        <v>129</v>
      </c>
      <c r="G50" s="1">
        <v>31</v>
      </c>
      <c r="H50" s="1">
        <v>2</v>
      </c>
      <c r="M50" s="1">
        <v>20</v>
      </c>
      <c r="N50" s="1">
        <v>2</v>
      </c>
      <c r="Q50" s="1">
        <v>11</v>
      </c>
      <c r="R50" s="1">
        <v>1</v>
      </c>
      <c r="AA50" s="1">
        <v>0</v>
      </c>
      <c r="AB50" s="1">
        <v>1</v>
      </c>
      <c r="AM50" s="1">
        <v>0</v>
      </c>
      <c r="AN50" s="1">
        <v>2</v>
      </c>
    </row>
    <row r="51" spans="1:58" x14ac:dyDescent="0.3">
      <c r="A51" s="1" t="s">
        <v>7</v>
      </c>
      <c r="B51" s="1">
        <v>128</v>
      </c>
      <c r="M51" s="1">
        <v>76</v>
      </c>
      <c r="N51" s="1">
        <v>8</v>
      </c>
      <c r="Q51" s="1">
        <v>50</v>
      </c>
      <c r="R51" s="1">
        <v>8</v>
      </c>
      <c r="AC51" s="1">
        <v>26</v>
      </c>
      <c r="AD51" s="1">
        <v>8</v>
      </c>
      <c r="AM51" s="1">
        <v>32</v>
      </c>
      <c r="AN51" s="1">
        <v>8</v>
      </c>
      <c r="BE51" s="1">
        <v>45</v>
      </c>
      <c r="BF51" s="1">
        <v>8</v>
      </c>
    </row>
    <row r="52" spans="1:58" x14ac:dyDescent="0.3">
      <c r="A52" s="1" t="s">
        <v>7</v>
      </c>
      <c r="B52" s="1">
        <v>127</v>
      </c>
      <c r="M52" s="1">
        <v>12</v>
      </c>
      <c r="N52" s="1">
        <v>4</v>
      </c>
      <c r="Q52" s="1">
        <v>60</v>
      </c>
      <c r="R52" s="1">
        <v>4</v>
      </c>
      <c r="AC52" s="1">
        <v>25</v>
      </c>
      <c r="AD52" s="1">
        <v>4</v>
      </c>
      <c r="BE52" s="1">
        <v>-4</v>
      </c>
      <c r="BF52" s="1">
        <v>4</v>
      </c>
    </row>
    <row r="53" spans="1:58" x14ac:dyDescent="0.3">
      <c r="A53" s="1" t="s">
        <v>7</v>
      </c>
      <c r="B53" s="1">
        <v>126</v>
      </c>
      <c r="G53" s="1">
        <v>54</v>
      </c>
      <c r="H53" s="1">
        <v>10</v>
      </c>
      <c r="M53" s="1">
        <v>88</v>
      </c>
      <c r="N53" s="1">
        <v>10</v>
      </c>
      <c r="Q53" s="1">
        <v>43</v>
      </c>
      <c r="R53" s="1">
        <v>10</v>
      </c>
      <c r="U53" s="1">
        <v>32</v>
      </c>
      <c r="V53" s="1">
        <v>10</v>
      </c>
    </row>
    <row r="54" spans="1:58" x14ac:dyDescent="0.3">
      <c r="A54" s="1" t="s">
        <v>7</v>
      </c>
      <c r="B54" s="1">
        <v>125</v>
      </c>
      <c r="M54" s="1">
        <v>13</v>
      </c>
      <c r="N54" s="1">
        <v>4</v>
      </c>
      <c r="O54" s="1">
        <v>13</v>
      </c>
      <c r="P54" s="1">
        <v>4</v>
      </c>
      <c r="AM54" s="1">
        <v>26</v>
      </c>
      <c r="AN54" s="1">
        <v>4</v>
      </c>
      <c r="AQ54" s="1">
        <v>44</v>
      </c>
      <c r="AR54" s="1">
        <v>4</v>
      </c>
    </row>
    <row r="55" spans="1:58" x14ac:dyDescent="0.3">
      <c r="A55" s="1" t="s">
        <v>7</v>
      </c>
      <c r="B55" s="1">
        <v>124</v>
      </c>
      <c r="G55" s="1">
        <v>112</v>
      </c>
      <c r="H55" s="1">
        <v>10</v>
      </c>
      <c r="M55" s="1">
        <v>23</v>
      </c>
      <c r="N55" s="1">
        <v>10</v>
      </c>
      <c r="Q55" s="1">
        <v>103</v>
      </c>
      <c r="R55" s="1">
        <v>10</v>
      </c>
      <c r="AC55" s="1">
        <v>57</v>
      </c>
      <c r="AD55" s="1">
        <v>11</v>
      </c>
      <c r="BE55" s="1">
        <v>36</v>
      </c>
      <c r="BF55" s="1">
        <v>7</v>
      </c>
    </row>
    <row r="56" spans="1:58" x14ac:dyDescent="0.3">
      <c r="A56" s="1" t="s">
        <v>7</v>
      </c>
      <c r="B56" s="1">
        <v>123</v>
      </c>
      <c r="G56" s="1">
        <v>119</v>
      </c>
      <c r="H56" s="1">
        <v>12</v>
      </c>
      <c r="M56" s="1">
        <v>68</v>
      </c>
      <c r="N56" s="1">
        <v>12</v>
      </c>
      <c r="U56" s="1">
        <v>33</v>
      </c>
      <c r="V56" s="1">
        <v>12</v>
      </c>
      <c r="AA56" s="1">
        <v>74</v>
      </c>
      <c r="AB56" s="1">
        <v>12</v>
      </c>
    </row>
    <row r="57" spans="1:58" x14ac:dyDescent="0.3">
      <c r="A57" s="1" t="s">
        <v>7</v>
      </c>
      <c r="B57" s="1">
        <v>122</v>
      </c>
      <c r="C57" s="1">
        <v>28</v>
      </c>
      <c r="D57" s="1">
        <v>8</v>
      </c>
      <c r="G57" s="1">
        <v>46</v>
      </c>
      <c r="H57" s="1">
        <v>8</v>
      </c>
      <c r="M57" s="1">
        <v>41</v>
      </c>
      <c r="N57" s="1">
        <v>8</v>
      </c>
      <c r="Q57" s="1">
        <v>36</v>
      </c>
      <c r="R57" s="1">
        <v>8</v>
      </c>
    </row>
    <row r="58" spans="1:58" x14ac:dyDescent="0.3">
      <c r="A58" s="1" t="s">
        <v>7</v>
      </c>
      <c r="B58" s="1">
        <v>121</v>
      </c>
      <c r="Q58" s="1">
        <v>59</v>
      </c>
      <c r="R58" s="1">
        <v>5</v>
      </c>
      <c r="AA58" s="1">
        <v>53</v>
      </c>
      <c r="AB58" s="1">
        <v>5</v>
      </c>
      <c r="AC58" s="1">
        <v>24</v>
      </c>
      <c r="AD58" s="1">
        <v>4</v>
      </c>
      <c r="AQ58" s="1">
        <v>51</v>
      </c>
      <c r="AR58" s="1">
        <v>5</v>
      </c>
      <c r="BE58" s="1">
        <v>13</v>
      </c>
      <c r="BF58" s="1">
        <v>5</v>
      </c>
    </row>
    <row r="59" spans="1:58" x14ac:dyDescent="0.3">
      <c r="A59" s="1" t="s">
        <v>7</v>
      </c>
      <c r="B59" s="1">
        <v>120</v>
      </c>
      <c r="C59" s="1">
        <v>98</v>
      </c>
      <c r="D59" s="1">
        <v>16</v>
      </c>
      <c r="G59" s="1">
        <v>120</v>
      </c>
      <c r="H59" s="1">
        <v>16</v>
      </c>
      <c r="M59" s="1">
        <v>156</v>
      </c>
      <c r="N59" s="1">
        <v>16</v>
      </c>
      <c r="O59" s="1">
        <v>98</v>
      </c>
      <c r="P59" s="1">
        <v>16</v>
      </c>
      <c r="AM59" s="1">
        <v>27</v>
      </c>
      <c r="AN59" s="1">
        <v>16</v>
      </c>
    </row>
    <row r="60" spans="1:58" x14ac:dyDescent="0.3">
      <c r="A60" s="1" t="s">
        <v>7</v>
      </c>
      <c r="B60" s="1">
        <v>119</v>
      </c>
      <c r="G60" s="1">
        <v>114</v>
      </c>
      <c r="H60" s="1">
        <v>12</v>
      </c>
      <c r="M60" s="1">
        <v>98</v>
      </c>
      <c r="N60" s="1">
        <v>12</v>
      </c>
      <c r="AA60" s="1">
        <v>46</v>
      </c>
      <c r="AB60" s="1">
        <v>12</v>
      </c>
      <c r="AQ60" s="1">
        <v>64</v>
      </c>
      <c r="AR60" s="1">
        <v>12</v>
      </c>
    </row>
    <row r="61" spans="1:58" x14ac:dyDescent="0.3">
      <c r="A61" s="1" t="s">
        <v>7</v>
      </c>
      <c r="B61" s="1">
        <v>118</v>
      </c>
      <c r="G61" s="1">
        <v>39</v>
      </c>
      <c r="H61" s="1">
        <v>8</v>
      </c>
      <c r="M61" s="1">
        <v>54</v>
      </c>
      <c r="N61" s="1">
        <v>8</v>
      </c>
      <c r="AC61" s="1">
        <v>34</v>
      </c>
      <c r="AD61" s="1">
        <v>8</v>
      </c>
      <c r="AQ61" s="1">
        <v>62</v>
      </c>
      <c r="AR61" s="1">
        <v>8</v>
      </c>
    </row>
    <row r="62" spans="1:58" x14ac:dyDescent="0.3">
      <c r="A62" s="1" t="s">
        <v>7</v>
      </c>
      <c r="B62" s="1">
        <v>117</v>
      </c>
      <c r="C62" s="1">
        <v>22</v>
      </c>
      <c r="D62" s="1">
        <v>3</v>
      </c>
      <c r="Q62" s="1">
        <v>0</v>
      </c>
      <c r="R62" s="1">
        <v>3</v>
      </c>
      <c r="S62" s="1">
        <v>0</v>
      </c>
      <c r="T62" s="1">
        <v>3</v>
      </c>
      <c r="AC62" s="1">
        <v>49</v>
      </c>
      <c r="AD62" s="1">
        <v>4</v>
      </c>
      <c r="AI62" s="1">
        <v>28</v>
      </c>
      <c r="AJ62" s="1">
        <v>3</v>
      </c>
    </row>
    <row r="63" spans="1:58" x14ac:dyDescent="0.3">
      <c r="A63" s="1" t="s">
        <v>7</v>
      </c>
      <c r="B63" s="1">
        <v>116</v>
      </c>
      <c r="C63" s="1">
        <v>130</v>
      </c>
      <c r="D63" s="1">
        <v>12</v>
      </c>
      <c r="M63" s="1">
        <v>45</v>
      </c>
      <c r="N63" s="1">
        <v>12</v>
      </c>
      <c r="AC63" s="1">
        <v>69</v>
      </c>
      <c r="AD63" s="1">
        <v>12</v>
      </c>
      <c r="AI63" s="1">
        <v>31</v>
      </c>
      <c r="AJ63" s="1">
        <v>12</v>
      </c>
    </row>
    <row r="64" spans="1:58" x14ac:dyDescent="0.3">
      <c r="A64" s="1" t="s">
        <v>7</v>
      </c>
      <c r="B64" s="1">
        <v>115</v>
      </c>
      <c r="G64" s="1">
        <v>20</v>
      </c>
      <c r="H64" s="1">
        <v>4</v>
      </c>
      <c r="M64" s="1">
        <v>49</v>
      </c>
      <c r="N64" s="1">
        <v>4</v>
      </c>
      <c r="Q64" s="1">
        <v>24</v>
      </c>
      <c r="R64" s="1">
        <v>4</v>
      </c>
      <c r="AC64" s="1">
        <v>13</v>
      </c>
      <c r="AD64" s="1">
        <v>4</v>
      </c>
      <c r="BE64" s="1">
        <v>25</v>
      </c>
      <c r="BF64" s="1">
        <v>4</v>
      </c>
    </row>
    <row r="65" spans="1:58" x14ac:dyDescent="0.3">
      <c r="A65" s="1" t="s">
        <v>7</v>
      </c>
      <c r="B65" s="1">
        <v>114</v>
      </c>
      <c r="M65" s="1">
        <v>47</v>
      </c>
      <c r="N65" s="1">
        <v>3</v>
      </c>
      <c r="AC65" s="1">
        <v>0</v>
      </c>
      <c r="AD65" s="1">
        <v>3</v>
      </c>
      <c r="AM65" s="1">
        <v>0</v>
      </c>
      <c r="AN65" s="1">
        <v>3</v>
      </c>
      <c r="BE65" s="1">
        <v>13</v>
      </c>
      <c r="BF65" s="1">
        <v>3</v>
      </c>
    </row>
    <row r="66" spans="1:58" x14ac:dyDescent="0.3">
      <c r="A66" s="1" t="s">
        <v>7</v>
      </c>
      <c r="B66" s="1">
        <v>113</v>
      </c>
      <c r="C66" s="1">
        <v>31</v>
      </c>
      <c r="D66" s="1">
        <v>12</v>
      </c>
      <c r="G66" s="1">
        <v>131</v>
      </c>
      <c r="H66" s="1">
        <v>12</v>
      </c>
      <c r="M66" s="1">
        <v>102</v>
      </c>
      <c r="N66" s="1">
        <v>12</v>
      </c>
      <c r="U66" s="1">
        <v>10</v>
      </c>
      <c r="V66" s="1">
        <v>12</v>
      </c>
    </row>
    <row r="67" spans="1:58" x14ac:dyDescent="0.3">
      <c r="A67" s="1" t="s">
        <v>7</v>
      </c>
      <c r="B67" s="1">
        <v>112</v>
      </c>
      <c r="M67" s="1">
        <v>8</v>
      </c>
      <c r="N67" s="1">
        <v>5</v>
      </c>
      <c r="S67" s="1">
        <v>28</v>
      </c>
      <c r="T67" s="1">
        <v>5</v>
      </c>
      <c r="AC67" s="1">
        <v>35</v>
      </c>
      <c r="AD67" s="1">
        <v>5</v>
      </c>
      <c r="AY67" s="1">
        <v>21</v>
      </c>
      <c r="AZ67" s="1">
        <v>5</v>
      </c>
    </row>
    <row r="68" spans="1:58" x14ac:dyDescent="0.3">
      <c r="A68" s="1" t="s">
        <v>7</v>
      </c>
      <c r="B68" s="1">
        <v>111</v>
      </c>
      <c r="M68" s="1">
        <v>97</v>
      </c>
      <c r="N68" s="1">
        <v>8</v>
      </c>
      <c r="Q68" s="1">
        <v>45</v>
      </c>
      <c r="R68" s="1">
        <v>8</v>
      </c>
      <c r="AA68" s="1">
        <v>1</v>
      </c>
      <c r="AB68" s="1">
        <v>8</v>
      </c>
      <c r="AC68" s="1">
        <v>31</v>
      </c>
      <c r="AD68" s="1">
        <v>8</v>
      </c>
      <c r="BE68" s="1">
        <v>65</v>
      </c>
      <c r="BF68" s="1">
        <v>8</v>
      </c>
    </row>
    <row r="69" spans="1:58" x14ac:dyDescent="0.3">
      <c r="A69" s="1" t="s">
        <v>7</v>
      </c>
      <c r="B69" s="1">
        <v>110</v>
      </c>
      <c r="M69" s="1">
        <v>36</v>
      </c>
      <c r="N69" s="1">
        <v>7</v>
      </c>
      <c r="Q69" s="1">
        <v>79</v>
      </c>
      <c r="R69" s="1">
        <v>7</v>
      </c>
      <c r="S69" s="1">
        <v>-1</v>
      </c>
      <c r="T69" s="1">
        <v>7</v>
      </c>
      <c r="AC69" s="1">
        <v>47</v>
      </c>
      <c r="AD69" s="1">
        <v>7</v>
      </c>
    </row>
    <row r="70" spans="1:58" x14ac:dyDescent="0.3">
      <c r="A70" s="1" t="s">
        <v>7</v>
      </c>
      <c r="B70" s="1">
        <v>109</v>
      </c>
      <c r="G70" s="1">
        <v>40</v>
      </c>
      <c r="H70" s="1">
        <v>3</v>
      </c>
      <c r="Q70" s="1">
        <v>14</v>
      </c>
      <c r="R70" s="1">
        <v>3</v>
      </c>
      <c r="AC70" s="1">
        <v>15</v>
      </c>
      <c r="AD70" s="1">
        <v>3</v>
      </c>
      <c r="AM70" s="1">
        <v>9</v>
      </c>
      <c r="AN70" s="1">
        <v>1</v>
      </c>
      <c r="BE70" s="1">
        <v>17</v>
      </c>
      <c r="BF70" s="1">
        <v>2</v>
      </c>
    </row>
    <row r="71" spans="1:58" x14ac:dyDescent="0.3">
      <c r="A71" s="1" t="s">
        <v>7</v>
      </c>
      <c r="B71" s="1">
        <v>108</v>
      </c>
      <c r="Q71" s="1">
        <v>64</v>
      </c>
      <c r="R71" s="1">
        <v>11</v>
      </c>
      <c r="AA71" s="1">
        <v>15</v>
      </c>
      <c r="AB71" s="1">
        <v>11</v>
      </c>
      <c r="AM71" s="1">
        <v>53</v>
      </c>
      <c r="AN71" s="1">
        <v>11</v>
      </c>
      <c r="BE71" s="1">
        <v>96</v>
      </c>
      <c r="BF71" s="1">
        <v>11</v>
      </c>
    </row>
    <row r="72" spans="1:58" x14ac:dyDescent="0.3">
      <c r="A72" s="1" t="s">
        <v>7</v>
      </c>
      <c r="B72" s="1">
        <v>107</v>
      </c>
      <c r="G72" s="1">
        <v>77</v>
      </c>
      <c r="H72" s="1">
        <v>7</v>
      </c>
      <c r="M72" s="1">
        <v>63</v>
      </c>
      <c r="N72" s="1">
        <v>7</v>
      </c>
      <c r="S72" s="1">
        <v>14</v>
      </c>
      <c r="T72" s="1">
        <v>7</v>
      </c>
      <c r="AM72" s="1">
        <v>8</v>
      </c>
      <c r="AN72" s="1">
        <v>7</v>
      </c>
    </row>
    <row r="73" spans="1:58" x14ac:dyDescent="0.3">
      <c r="A73" s="1" t="s">
        <v>7</v>
      </c>
      <c r="B73" s="1">
        <v>106</v>
      </c>
      <c r="C73" s="1">
        <v>98</v>
      </c>
      <c r="D73" s="1">
        <v>16</v>
      </c>
      <c r="G73" s="1">
        <v>189</v>
      </c>
      <c r="H73" s="1">
        <v>16</v>
      </c>
      <c r="M73" s="1">
        <v>83</v>
      </c>
      <c r="N73" s="1">
        <v>16</v>
      </c>
      <c r="AC73" s="1">
        <v>54</v>
      </c>
      <c r="AD73" s="1">
        <v>16</v>
      </c>
    </row>
    <row r="74" spans="1:58" x14ac:dyDescent="0.3">
      <c r="A74" s="1" t="s">
        <v>7</v>
      </c>
      <c r="B74" s="1">
        <v>105</v>
      </c>
      <c r="C74" s="1">
        <v>79</v>
      </c>
      <c r="D74" s="1">
        <v>6</v>
      </c>
      <c r="Q74" s="1">
        <v>9</v>
      </c>
      <c r="R74" s="1">
        <v>7</v>
      </c>
      <c r="AA74" s="1">
        <v>13</v>
      </c>
      <c r="AB74" s="1">
        <v>6</v>
      </c>
      <c r="AC74" s="1">
        <v>21</v>
      </c>
      <c r="AD74" s="1">
        <v>6</v>
      </c>
      <c r="BE74" s="1">
        <v>20</v>
      </c>
      <c r="BF74" s="1">
        <v>7</v>
      </c>
    </row>
    <row r="75" spans="1:58" x14ac:dyDescent="0.3">
      <c r="A75" s="1" t="s">
        <v>7</v>
      </c>
      <c r="B75" s="1">
        <v>104</v>
      </c>
      <c r="G75" s="1">
        <v>103</v>
      </c>
      <c r="H75" s="1">
        <v>9</v>
      </c>
      <c r="M75" s="1">
        <v>31</v>
      </c>
      <c r="N75" s="1">
        <v>9</v>
      </c>
      <c r="S75" s="1">
        <v>64</v>
      </c>
      <c r="T75" s="1">
        <v>9</v>
      </c>
      <c r="AA75" s="1">
        <v>62</v>
      </c>
      <c r="AB75" s="1">
        <v>9</v>
      </c>
    </row>
    <row r="76" spans="1:58" x14ac:dyDescent="0.3">
      <c r="A76" s="1" t="s">
        <v>7</v>
      </c>
      <c r="B76" s="1">
        <v>103</v>
      </c>
      <c r="G76" s="1">
        <v>172</v>
      </c>
      <c r="H76" s="1">
        <v>17</v>
      </c>
      <c r="M76" s="1">
        <v>81</v>
      </c>
      <c r="N76" s="1">
        <v>17</v>
      </c>
      <c r="AQ76" s="1">
        <v>55</v>
      </c>
      <c r="AR76" s="1">
        <v>17</v>
      </c>
      <c r="BC76" s="1">
        <v>64</v>
      </c>
      <c r="BD76" s="1">
        <v>17</v>
      </c>
      <c r="BE76" s="1">
        <v>96</v>
      </c>
      <c r="BF76" s="1">
        <v>17</v>
      </c>
    </row>
    <row r="77" spans="1:58" x14ac:dyDescent="0.3">
      <c r="A77" s="1" t="s">
        <v>7</v>
      </c>
      <c r="B77" s="1">
        <v>102</v>
      </c>
      <c r="G77" s="1">
        <v>12</v>
      </c>
      <c r="H77" s="1">
        <v>5</v>
      </c>
      <c r="M77" s="1">
        <v>56</v>
      </c>
      <c r="N77" s="1">
        <v>5</v>
      </c>
      <c r="S77" s="1">
        <v>41</v>
      </c>
      <c r="T77" s="1">
        <v>5</v>
      </c>
      <c r="AQ77" s="1">
        <v>0</v>
      </c>
      <c r="AR77" s="1">
        <v>5</v>
      </c>
    </row>
    <row r="78" spans="1:58" x14ac:dyDescent="0.3">
      <c r="A78" s="1" t="s">
        <v>7</v>
      </c>
      <c r="B78" s="1">
        <v>101</v>
      </c>
      <c r="C78" s="1">
        <v>99</v>
      </c>
      <c r="D78" s="1">
        <v>12</v>
      </c>
      <c r="G78" s="1">
        <v>142</v>
      </c>
      <c r="H78" s="1">
        <v>12</v>
      </c>
      <c r="M78" s="1">
        <v>-30</v>
      </c>
      <c r="N78" s="1">
        <v>12</v>
      </c>
      <c r="AC78" s="1">
        <v>87</v>
      </c>
      <c r="AD78" s="1">
        <v>12</v>
      </c>
      <c r="AI78" s="1">
        <v>50</v>
      </c>
      <c r="AJ78" s="1">
        <v>12</v>
      </c>
    </row>
    <row r="79" spans="1:58" x14ac:dyDescent="0.3">
      <c r="A79" s="1" t="s">
        <v>7</v>
      </c>
      <c r="B79" s="1">
        <v>100</v>
      </c>
      <c r="C79" s="1">
        <v>22</v>
      </c>
      <c r="D79" s="1">
        <v>4</v>
      </c>
      <c r="G79" s="1">
        <v>44</v>
      </c>
      <c r="H79" s="1">
        <v>6</v>
      </c>
      <c r="M79" s="1">
        <v>8</v>
      </c>
      <c r="N79" s="1">
        <v>6</v>
      </c>
      <c r="Q79" s="1">
        <v>58</v>
      </c>
      <c r="R79" s="1">
        <v>6</v>
      </c>
      <c r="AC79" s="1">
        <v>48</v>
      </c>
      <c r="AD79" s="1">
        <v>6</v>
      </c>
      <c r="AE79" s="1" t="s">
        <v>29</v>
      </c>
    </row>
    <row r="80" spans="1:58" x14ac:dyDescent="0.3">
      <c r="A80" s="1" t="s">
        <v>7</v>
      </c>
      <c r="B80" s="1">
        <v>99</v>
      </c>
      <c r="G80" s="1">
        <v>24</v>
      </c>
      <c r="H80" s="1">
        <v>4</v>
      </c>
      <c r="M80" s="1">
        <v>21</v>
      </c>
      <c r="N80" s="1">
        <v>4</v>
      </c>
      <c r="U80" s="1">
        <v>50</v>
      </c>
      <c r="V80" s="1">
        <v>4</v>
      </c>
      <c r="AC80" s="1">
        <v>0</v>
      </c>
      <c r="AD80" s="1">
        <v>4</v>
      </c>
    </row>
    <row r="81" spans="1:87" x14ac:dyDescent="0.3">
      <c r="A81" s="1" t="s">
        <v>7</v>
      </c>
      <c r="B81" s="1">
        <v>98</v>
      </c>
      <c r="G81" s="1">
        <v>50</v>
      </c>
      <c r="H81" s="1">
        <v>5</v>
      </c>
      <c r="M81" s="1">
        <v>49</v>
      </c>
      <c r="N81" s="1">
        <v>5</v>
      </c>
      <c r="U81" s="1">
        <v>22</v>
      </c>
      <c r="V81" s="1">
        <v>5</v>
      </c>
      <c r="AA81" s="1">
        <v>0</v>
      </c>
      <c r="AB81" s="1">
        <v>5</v>
      </c>
    </row>
    <row r="82" spans="1:87" x14ac:dyDescent="0.3">
      <c r="A82" s="1" t="s">
        <v>7</v>
      </c>
      <c r="B82" s="1">
        <v>97</v>
      </c>
      <c r="C82" s="1">
        <v>60</v>
      </c>
      <c r="D82" s="1">
        <v>8</v>
      </c>
      <c r="G82" s="1">
        <v>-4</v>
      </c>
      <c r="H82" s="1">
        <v>8</v>
      </c>
      <c r="Q82" s="1">
        <v>9</v>
      </c>
      <c r="R82" s="1">
        <v>8</v>
      </c>
      <c r="AA82" s="1">
        <v>67</v>
      </c>
      <c r="AB82" s="1">
        <v>8</v>
      </c>
    </row>
    <row r="83" spans="1:87" x14ac:dyDescent="0.3">
      <c r="A83" s="1" t="s">
        <v>7</v>
      </c>
      <c r="B83" s="1">
        <v>96</v>
      </c>
      <c r="C83" s="1">
        <v>59</v>
      </c>
      <c r="D83" s="1">
        <v>4</v>
      </c>
      <c r="G83" s="1">
        <v>48</v>
      </c>
      <c r="H83" s="1">
        <v>4</v>
      </c>
      <c r="Q83" s="1">
        <v>28</v>
      </c>
      <c r="R83" s="1">
        <v>4</v>
      </c>
      <c r="U83" s="1">
        <v>-31</v>
      </c>
      <c r="V83" s="1">
        <v>4</v>
      </c>
    </row>
    <row r="84" spans="1:87" x14ac:dyDescent="0.3">
      <c r="A84" s="1" t="s">
        <v>7</v>
      </c>
      <c r="B84" s="1">
        <v>95</v>
      </c>
      <c r="C84" s="1">
        <v>46</v>
      </c>
      <c r="D84" s="1">
        <v>8</v>
      </c>
      <c r="G84" s="1">
        <v>90</v>
      </c>
      <c r="H84" s="1">
        <v>8</v>
      </c>
      <c r="Q84" s="1">
        <v>58</v>
      </c>
      <c r="R84" s="1">
        <v>8</v>
      </c>
      <c r="AI84" s="1">
        <v>13</v>
      </c>
      <c r="AJ84" s="1">
        <v>8</v>
      </c>
    </row>
    <row r="85" spans="1:87" x14ac:dyDescent="0.3">
      <c r="A85" s="1" t="s">
        <v>7</v>
      </c>
      <c r="B85" s="1">
        <v>94</v>
      </c>
      <c r="C85" s="1">
        <v>30</v>
      </c>
      <c r="D85" s="1">
        <v>8</v>
      </c>
      <c r="G85" s="1">
        <v>62</v>
      </c>
      <c r="H85" s="1">
        <v>8</v>
      </c>
      <c r="K85" s="1">
        <v>86</v>
      </c>
      <c r="L85" s="1">
        <v>8</v>
      </c>
      <c r="M85" s="1">
        <v>0</v>
      </c>
      <c r="N85" s="1">
        <v>8</v>
      </c>
    </row>
    <row r="86" spans="1:87" x14ac:dyDescent="0.3">
      <c r="A86" s="1" t="s">
        <v>7</v>
      </c>
      <c r="B86" s="1">
        <v>93</v>
      </c>
      <c r="G86" s="1">
        <v>130</v>
      </c>
      <c r="H86" s="1">
        <v>20</v>
      </c>
      <c r="M86" s="1">
        <v>108</v>
      </c>
      <c r="N86" s="1">
        <v>20</v>
      </c>
      <c r="U86" s="1">
        <v>99</v>
      </c>
      <c r="V86" s="1">
        <v>20</v>
      </c>
      <c r="AA86" s="1">
        <v>99</v>
      </c>
      <c r="AB86" s="1">
        <v>20</v>
      </c>
    </row>
    <row r="87" spans="1:87" x14ac:dyDescent="0.3">
      <c r="A87" s="1" t="s">
        <v>7</v>
      </c>
      <c r="B87" s="1">
        <v>92</v>
      </c>
      <c r="C87" s="1">
        <v>13</v>
      </c>
      <c r="D87" s="1">
        <v>4</v>
      </c>
      <c r="G87" s="1">
        <v>25</v>
      </c>
      <c r="H87" s="1">
        <v>4</v>
      </c>
      <c r="M87" s="1">
        <v>13</v>
      </c>
      <c r="N87" s="1">
        <v>4</v>
      </c>
      <c r="U87" s="1">
        <v>34</v>
      </c>
      <c r="V87" s="1">
        <v>4</v>
      </c>
    </row>
    <row r="88" spans="1:87" x14ac:dyDescent="0.3">
      <c r="A88" s="1" t="s">
        <v>7</v>
      </c>
      <c r="B88" s="1">
        <v>91</v>
      </c>
      <c r="G88" s="1">
        <v>123</v>
      </c>
      <c r="H88" s="1">
        <v>16</v>
      </c>
      <c r="M88" s="1">
        <v>108</v>
      </c>
      <c r="N88" s="1">
        <v>16</v>
      </c>
      <c r="Q88" s="1">
        <v>122</v>
      </c>
      <c r="R88" s="1">
        <v>16</v>
      </c>
      <c r="AA88" s="1">
        <v>97</v>
      </c>
      <c r="AB88" s="1">
        <v>16</v>
      </c>
      <c r="CF88" s="1" t="s">
        <v>43</v>
      </c>
      <c r="CH88" s="1" t="s">
        <v>53</v>
      </c>
    </row>
    <row r="89" spans="1:87" x14ac:dyDescent="0.3">
      <c r="A89" s="1" t="s">
        <v>7</v>
      </c>
      <c r="B89" s="1">
        <v>90</v>
      </c>
      <c r="C89" s="1">
        <v>62</v>
      </c>
      <c r="D89" s="1">
        <v>12</v>
      </c>
      <c r="G89" s="1">
        <v>39</v>
      </c>
      <c r="H89" s="1">
        <v>12</v>
      </c>
      <c r="M89" s="1">
        <v>98</v>
      </c>
      <c r="N89" s="1">
        <v>12</v>
      </c>
      <c r="U89" s="1">
        <v>42</v>
      </c>
      <c r="V89" s="1">
        <v>12</v>
      </c>
      <c r="CF89" s="1" t="s">
        <v>42</v>
      </c>
    </row>
    <row r="90" spans="1:87" x14ac:dyDescent="0.3">
      <c r="A90" s="1" t="s">
        <v>7</v>
      </c>
      <c r="B90" s="1">
        <v>89</v>
      </c>
      <c r="C90" s="1">
        <v>34</v>
      </c>
      <c r="D90" s="1">
        <v>5</v>
      </c>
      <c r="G90" s="1">
        <v>67</v>
      </c>
      <c r="H90" s="1">
        <v>5</v>
      </c>
      <c r="M90" s="1">
        <v>9</v>
      </c>
      <c r="N90" s="1">
        <v>5</v>
      </c>
      <c r="Q90" s="1">
        <v>14</v>
      </c>
      <c r="R90" s="1">
        <v>5</v>
      </c>
      <c r="CF90" s="1" t="s">
        <v>51</v>
      </c>
      <c r="CG90" s="23"/>
      <c r="CH90" s="1" t="s">
        <v>60</v>
      </c>
      <c r="CI90" s="1" t="s">
        <v>63</v>
      </c>
    </row>
    <row r="91" spans="1:87" x14ac:dyDescent="0.3">
      <c r="A91" s="1" t="s">
        <v>7</v>
      </c>
      <c r="B91" s="1">
        <v>88</v>
      </c>
      <c r="C91" s="1">
        <v>8</v>
      </c>
      <c r="D91" s="1">
        <v>4</v>
      </c>
      <c r="G91" s="1">
        <v>46</v>
      </c>
      <c r="H91" s="1">
        <v>4</v>
      </c>
      <c r="M91" s="1">
        <v>23</v>
      </c>
      <c r="N91" s="1">
        <v>4</v>
      </c>
      <c r="S91" s="1">
        <v>6</v>
      </c>
      <c r="T91" s="1">
        <v>4</v>
      </c>
      <c r="CF91" s="1" t="s">
        <v>52</v>
      </c>
      <c r="CG91" s="24"/>
      <c r="CH91" s="1" t="s">
        <v>61</v>
      </c>
      <c r="CI91" s="1" t="s">
        <v>54</v>
      </c>
    </row>
    <row r="92" spans="1:87" x14ac:dyDescent="0.3">
      <c r="A92" s="1" t="s">
        <v>7</v>
      </c>
      <c r="B92" s="1">
        <v>87</v>
      </c>
      <c r="C92" s="1">
        <v>21</v>
      </c>
      <c r="D92" s="1">
        <v>3</v>
      </c>
      <c r="G92" s="1">
        <v>23</v>
      </c>
      <c r="H92" s="1">
        <v>3</v>
      </c>
      <c r="I92" s="1">
        <v>8</v>
      </c>
      <c r="J92" s="1">
        <v>3</v>
      </c>
      <c r="M92" s="1">
        <v>0</v>
      </c>
      <c r="N92" s="1">
        <v>3</v>
      </c>
      <c r="CF92" s="1" t="s">
        <v>50</v>
      </c>
      <c r="CG92" s="17"/>
      <c r="CH92" s="1" t="s">
        <v>55</v>
      </c>
      <c r="CI92" s="1" t="s">
        <v>64</v>
      </c>
    </row>
    <row r="93" spans="1:87" x14ac:dyDescent="0.3">
      <c r="A93" s="1" t="s">
        <v>7</v>
      </c>
      <c r="B93" s="1">
        <v>86</v>
      </c>
      <c r="C93" s="1">
        <v>0</v>
      </c>
      <c r="D93" s="1">
        <v>4</v>
      </c>
      <c r="G93" s="1">
        <v>37</v>
      </c>
      <c r="H93" s="1">
        <v>4</v>
      </c>
      <c r="I93" s="1">
        <v>25</v>
      </c>
      <c r="J93" s="1">
        <v>4</v>
      </c>
      <c r="K93" s="1">
        <v>62</v>
      </c>
      <c r="L93" s="1">
        <v>4</v>
      </c>
      <c r="CF93" s="1" t="s">
        <v>44</v>
      </c>
      <c r="CG93" s="18"/>
      <c r="CH93" s="1" t="s">
        <v>59</v>
      </c>
      <c r="CI93" s="1" t="s">
        <v>65</v>
      </c>
    </row>
    <row r="94" spans="1:87" x14ac:dyDescent="0.3">
      <c r="A94" s="1" t="s">
        <v>7</v>
      </c>
      <c r="B94" s="1">
        <v>85</v>
      </c>
      <c r="C94" s="1">
        <v>93</v>
      </c>
      <c r="D94" s="1">
        <v>8</v>
      </c>
      <c r="G94" s="1">
        <v>13</v>
      </c>
      <c r="H94" s="1">
        <v>8</v>
      </c>
      <c r="S94" s="1">
        <v>81</v>
      </c>
      <c r="T94" s="1">
        <v>8</v>
      </c>
      <c r="AA94" s="1">
        <v>55</v>
      </c>
      <c r="AB94" s="1">
        <v>8</v>
      </c>
      <c r="CF94" s="1" t="s">
        <v>45</v>
      </c>
      <c r="CG94" s="21"/>
      <c r="CH94" s="1" t="s">
        <v>56</v>
      </c>
      <c r="CI94" s="1" t="s">
        <v>66</v>
      </c>
    </row>
    <row r="95" spans="1:87" x14ac:dyDescent="0.3">
      <c r="A95" s="1" t="s">
        <v>7</v>
      </c>
      <c r="B95" s="1">
        <v>84</v>
      </c>
      <c r="C95" s="1">
        <v>34</v>
      </c>
      <c r="D95" s="1">
        <v>8</v>
      </c>
      <c r="G95" s="1">
        <v>52</v>
      </c>
      <c r="H95" s="1">
        <v>8</v>
      </c>
      <c r="M95" s="1">
        <v>34</v>
      </c>
      <c r="N95" s="1">
        <v>8</v>
      </c>
      <c r="S95" s="1">
        <v>50</v>
      </c>
      <c r="T95" s="1">
        <v>8</v>
      </c>
      <c r="AA95" s="1">
        <v>32</v>
      </c>
      <c r="AB95" s="1">
        <v>8</v>
      </c>
      <c r="CF95" s="1" t="s">
        <v>46</v>
      </c>
      <c r="CG95" s="19"/>
      <c r="CH95" s="1" t="s">
        <v>57</v>
      </c>
      <c r="CI95" s="1" t="s">
        <v>67</v>
      </c>
    </row>
    <row r="96" spans="1:87" x14ac:dyDescent="0.3">
      <c r="A96" s="1" t="s">
        <v>7</v>
      </c>
      <c r="B96" s="1">
        <v>83</v>
      </c>
      <c r="C96" s="1">
        <v>23</v>
      </c>
      <c r="D96" s="1">
        <v>8</v>
      </c>
      <c r="G96" s="1">
        <v>24</v>
      </c>
      <c r="H96" s="1">
        <v>8</v>
      </c>
      <c r="M96" s="1">
        <v>94</v>
      </c>
      <c r="N96" s="1">
        <v>8</v>
      </c>
      <c r="S96" s="1">
        <v>43</v>
      </c>
      <c r="T96" s="1">
        <v>8</v>
      </c>
      <c r="CF96" s="1" t="s">
        <v>47</v>
      </c>
      <c r="CG96" s="20"/>
      <c r="CH96" s="1" t="s">
        <v>58</v>
      </c>
      <c r="CI96" s="1" t="s">
        <v>68</v>
      </c>
    </row>
    <row r="97" spans="1:91" x14ac:dyDescent="0.3">
      <c r="A97" s="1" t="s">
        <v>7</v>
      </c>
      <c r="B97" s="1">
        <v>82</v>
      </c>
      <c r="C97" s="1">
        <v>72</v>
      </c>
      <c r="D97" s="1">
        <v>12</v>
      </c>
      <c r="G97" s="1">
        <v>84</v>
      </c>
      <c r="H97" s="1">
        <v>12</v>
      </c>
      <c r="M97" s="1">
        <v>56</v>
      </c>
      <c r="N97" s="1">
        <v>12</v>
      </c>
      <c r="AI97" s="1">
        <v>32</v>
      </c>
      <c r="AJ97" s="1">
        <v>12</v>
      </c>
      <c r="CF97" s="1" t="s">
        <v>48</v>
      </c>
      <c r="CG97" s="22"/>
      <c r="CH97" s="1" t="s">
        <v>62</v>
      </c>
      <c r="CI97" s="1" t="s">
        <v>69</v>
      </c>
    </row>
    <row r="98" spans="1:91" x14ac:dyDescent="0.3">
      <c r="A98" s="1" t="s">
        <v>7</v>
      </c>
      <c r="B98" s="1">
        <v>81</v>
      </c>
      <c r="C98" s="1">
        <v>29</v>
      </c>
      <c r="D98" s="1">
        <v>5</v>
      </c>
      <c r="E98" s="1">
        <v>33</v>
      </c>
      <c r="F98" s="1">
        <v>6</v>
      </c>
      <c r="G98" s="1">
        <v>30.5</v>
      </c>
      <c r="H98" s="1">
        <v>3</v>
      </c>
      <c r="M98" s="1">
        <v>16</v>
      </c>
      <c r="N98" s="1">
        <v>2</v>
      </c>
      <c r="U98" s="1">
        <v>-20</v>
      </c>
      <c r="V98" s="1">
        <v>5</v>
      </c>
      <c r="AA98" s="1">
        <v>30.5</v>
      </c>
      <c r="AB98" s="1">
        <v>3</v>
      </c>
    </row>
    <row r="99" spans="1:91" x14ac:dyDescent="0.3">
      <c r="A99" s="1" t="s">
        <v>7</v>
      </c>
      <c r="B99" s="1">
        <v>80</v>
      </c>
      <c r="C99" s="1">
        <v>28</v>
      </c>
      <c r="D99" s="1">
        <v>7</v>
      </c>
      <c r="E99" s="1">
        <v>0</v>
      </c>
      <c r="F99" s="1">
        <v>7</v>
      </c>
      <c r="G99" s="1">
        <v>54</v>
      </c>
      <c r="H99" s="1">
        <v>8</v>
      </c>
      <c r="S99" s="1">
        <v>67</v>
      </c>
      <c r="T99" s="1">
        <v>7</v>
      </c>
      <c r="U99" s="1">
        <v>46</v>
      </c>
      <c r="V99" s="1">
        <v>7</v>
      </c>
      <c r="CB99" s="1" t="s">
        <v>8</v>
      </c>
      <c r="CC99" s="1" t="s">
        <v>36</v>
      </c>
      <c r="CD99" s="1" t="s">
        <v>37</v>
      </c>
      <c r="CE99" s="1" t="s">
        <v>42</v>
      </c>
      <c r="CG99" s="1" t="s">
        <v>40</v>
      </c>
      <c r="CH99" s="1" t="s">
        <v>36</v>
      </c>
      <c r="CI99" s="1" t="s">
        <v>41</v>
      </c>
      <c r="CJ99" s="1" t="s">
        <v>42</v>
      </c>
      <c r="CL99" s="1" t="s">
        <v>35</v>
      </c>
    </row>
    <row r="100" spans="1:91" x14ac:dyDescent="0.3">
      <c r="A100" s="1" t="s">
        <v>7</v>
      </c>
      <c r="B100" s="1">
        <v>79</v>
      </c>
      <c r="C100" s="1">
        <v>75</v>
      </c>
      <c r="D100" s="1">
        <v>8</v>
      </c>
      <c r="E100" s="1">
        <v>87</v>
      </c>
      <c r="F100" s="1">
        <v>8</v>
      </c>
      <c r="G100" s="1">
        <v>10</v>
      </c>
      <c r="H100" s="1">
        <v>8</v>
      </c>
      <c r="W100" s="1">
        <v>32</v>
      </c>
      <c r="X100" s="1">
        <v>8</v>
      </c>
    </row>
    <row r="101" spans="1:91" x14ac:dyDescent="0.3">
      <c r="A101" s="1" t="s">
        <v>7</v>
      </c>
      <c r="B101" s="1">
        <v>78</v>
      </c>
      <c r="C101" s="1">
        <v>0</v>
      </c>
      <c r="D101" s="1">
        <v>3</v>
      </c>
      <c r="E101" s="1">
        <v>0</v>
      </c>
      <c r="F101" s="1">
        <v>1</v>
      </c>
      <c r="G101" s="1">
        <v>44</v>
      </c>
      <c r="H101" s="1">
        <v>4</v>
      </c>
      <c r="I101" s="1">
        <v>-14</v>
      </c>
      <c r="J101" s="1">
        <v>2</v>
      </c>
      <c r="M101" s="1">
        <v>33</v>
      </c>
      <c r="N101" s="1">
        <v>4</v>
      </c>
      <c r="W101" s="1">
        <v>-1</v>
      </c>
      <c r="X101" s="1">
        <v>4</v>
      </c>
      <c r="BA101" s="1">
        <v>34</v>
      </c>
      <c r="BB101" s="1">
        <v>2</v>
      </c>
      <c r="BY101" s="2"/>
      <c r="BZ101" s="1" t="s">
        <v>30</v>
      </c>
      <c r="CB101" s="1" cm="1">
        <f t="array" ref="CB101:CE123">_xlfn.LET(
  _xlpm.cols_impairs, _xlfn.SEQUENCE(1,COLUMNS(C1:BV1)/2,1,2),
  _xlpm.cols_pairs,   _xlfn.SEQUENCE(1,COLUMNS(C2:BV2)/2,2,2),
  _xlpm.noms,     TRANSPOSE(INDEX(C9:BV9,,_xlpm.cols_impairs)),
  _xlpm.moy,      TRANSPOSE(INDEX(C1:BV1,,_xlpm.cols_impairs)),
  _xlpm.parties,  TRANSPOSE(INDEX(C2:BV2,,_xlpm.cols_pairs)),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CC101" s="1" t="str">
        <v>Gauthier</v>
      </c>
      <c r="CD101" s="1" t="str">
        <v>7.253</v>
      </c>
      <c r="CE101" s="1">
        <v>79</v>
      </c>
      <c r="CG101" s="1" cm="1">
        <f t="array" ref="CG101:CJ108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CH101" s="1" t="str">
        <v>Amélie</v>
      </c>
      <c r="CI101" s="1" t="str">
        <v>17.000</v>
      </c>
      <c r="CJ101" s="1">
        <v>2</v>
      </c>
      <c r="CL101" s="1" t="str" cm="1">
        <f t="array" ref="CL101:CM128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M101" s="1">
        <v>7.2531645569620249</v>
      </c>
    </row>
    <row r="102" spans="1:91" x14ac:dyDescent="0.3">
      <c r="A102" s="1" t="s">
        <v>24</v>
      </c>
      <c r="B102" s="1">
        <v>77</v>
      </c>
      <c r="G102" s="1">
        <v>135</v>
      </c>
      <c r="H102" s="1">
        <v>12</v>
      </c>
      <c r="M102" s="1">
        <v>142</v>
      </c>
      <c r="N102" s="1">
        <v>12</v>
      </c>
      <c r="U102" s="1">
        <v>-7</v>
      </c>
      <c r="V102" s="1">
        <v>12</v>
      </c>
      <c r="AA102" s="1">
        <v>20</v>
      </c>
      <c r="AB102" s="1">
        <v>8</v>
      </c>
      <c r="BY102" s="3"/>
      <c r="BZ102" s="1" t="s">
        <v>31</v>
      </c>
      <c r="CB102" s="1">
        <v>2</v>
      </c>
      <c r="CC102" s="1" t="str">
        <v>Boris</v>
      </c>
      <c r="CD102" s="1" t="str">
        <v>7.155</v>
      </c>
      <c r="CE102" s="1">
        <v>1160</v>
      </c>
      <c r="CG102" s="1">
        <v>2</v>
      </c>
      <c r="CH102" s="1" t="str">
        <v>Maxime_Ca</v>
      </c>
      <c r="CI102" s="1" t="str">
        <v>8.500</v>
      </c>
      <c r="CJ102" s="1">
        <v>4</v>
      </c>
      <c r="CL102" s="1" t="str">
        <v>Boris</v>
      </c>
      <c r="CM102" s="1">
        <v>7.1547413793103445</v>
      </c>
    </row>
    <row r="103" spans="1:91" x14ac:dyDescent="0.3">
      <c r="A103" s="1" t="s">
        <v>24</v>
      </c>
      <c r="B103" s="1">
        <v>76</v>
      </c>
      <c r="C103" s="1">
        <v>-9</v>
      </c>
      <c r="D103" s="1">
        <v>4</v>
      </c>
      <c r="E103" s="1">
        <v>39</v>
      </c>
      <c r="F103" s="1">
        <v>4</v>
      </c>
      <c r="G103" s="1">
        <v>45</v>
      </c>
      <c r="H103" s="1">
        <v>4</v>
      </c>
      <c r="AI103" s="1">
        <v>-3</v>
      </c>
      <c r="AJ103" s="1">
        <v>4</v>
      </c>
      <c r="BY103" s="4"/>
      <c r="BZ103" s="1" t="s">
        <v>32</v>
      </c>
      <c r="CB103" s="1">
        <v>3</v>
      </c>
      <c r="CC103" s="1" t="str">
        <v>Vincent</v>
      </c>
      <c r="CD103" s="1" t="str">
        <v>6.750</v>
      </c>
      <c r="CE103" s="1">
        <v>20</v>
      </c>
      <c r="CG103" s="1">
        <v>3</v>
      </c>
      <c r="CH103" s="1" t="str">
        <v>Pascale</v>
      </c>
      <c r="CI103" s="1" t="str">
        <v>7.118</v>
      </c>
      <c r="CJ103" s="1">
        <v>17</v>
      </c>
      <c r="CL103" s="1" t="str">
        <v>Célian</v>
      </c>
      <c r="CM103" s="1">
        <v>6.2655367231638417</v>
      </c>
    </row>
    <row r="104" spans="1:91" x14ac:dyDescent="0.3">
      <c r="A104" s="1" t="s">
        <v>22</v>
      </c>
      <c r="B104" s="1">
        <v>75</v>
      </c>
      <c r="C104" s="1">
        <v>20</v>
      </c>
      <c r="D104" s="1">
        <v>4</v>
      </c>
      <c r="G104" s="1">
        <v>58</v>
      </c>
      <c r="H104" s="1">
        <v>4</v>
      </c>
      <c r="U104" s="1">
        <v>-30</v>
      </c>
      <c r="V104" s="1">
        <v>4</v>
      </c>
      <c r="AU104" s="1">
        <v>34</v>
      </c>
      <c r="AV104" s="1">
        <v>4</v>
      </c>
      <c r="CB104" s="1">
        <v>4</v>
      </c>
      <c r="CC104" s="1" t="str">
        <v>Célian</v>
      </c>
      <c r="CD104" s="1" t="str">
        <v>6.266</v>
      </c>
      <c r="CE104" s="1">
        <v>354</v>
      </c>
      <c r="CG104" s="1">
        <v>4</v>
      </c>
      <c r="CH104" s="1" t="str">
        <v>Harrison</v>
      </c>
      <c r="CI104" s="1" t="str">
        <v>5.400</v>
      </c>
      <c r="CJ104" s="1">
        <v>5</v>
      </c>
      <c r="CL104" s="1" t="str">
        <v>William</v>
      </c>
      <c r="CM104" s="1">
        <v>6.068965517241379</v>
      </c>
    </row>
    <row r="105" spans="1:91" x14ac:dyDescent="0.3">
      <c r="A105" s="1" t="s">
        <v>7</v>
      </c>
      <c r="B105" s="1">
        <v>74</v>
      </c>
      <c r="C105" s="1">
        <v>27</v>
      </c>
      <c r="D105" s="1">
        <v>4</v>
      </c>
      <c r="G105" s="1">
        <v>13</v>
      </c>
      <c r="H105" s="1">
        <v>4</v>
      </c>
      <c r="M105" s="1">
        <v>29</v>
      </c>
      <c r="N105" s="1">
        <v>4</v>
      </c>
      <c r="U105" s="1">
        <v>21</v>
      </c>
      <c r="V105" s="1">
        <v>4</v>
      </c>
      <c r="BY105" s="5"/>
      <c r="BZ105" s="1" t="s">
        <v>9</v>
      </c>
      <c r="CB105" s="1">
        <v>5</v>
      </c>
      <c r="CC105" s="1" t="str">
        <v>William</v>
      </c>
      <c r="CD105" s="1" t="str">
        <v>6.069</v>
      </c>
      <c r="CE105" s="1">
        <v>29</v>
      </c>
      <c r="CG105" s="1">
        <v>5</v>
      </c>
      <c r="CH105" s="1" t="str">
        <v>Émile</v>
      </c>
      <c r="CI105" s="1" t="str">
        <v>3.308</v>
      </c>
      <c r="CJ105" s="1">
        <v>13</v>
      </c>
      <c r="CL105" s="1" t="str">
        <v>Tom</v>
      </c>
      <c r="CM105" s="1">
        <v>6.059800664451827</v>
      </c>
    </row>
    <row r="106" spans="1:91" x14ac:dyDescent="0.3">
      <c r="A106" s="1" t="s">
        <v>7</v>
      </c>
      <c r="B106" s="1">
        <v>73</v>
      </c>
      <c r="C106" s="1">
        <v>92</v>
      </c>
      <c r="D106" s="1">
        <v>7</v>
      </c>
      <c r="G106" s="1">
        <v>27</v>
      </c>
      <c r="H106" s="1">
        <v>7</v>
      </c>
      <c r="U106" s="1">
        <v>-5</v>
      </c>
      <c r="V106" s="1">
        <v>7</v>
      </c>
      <c r="AA106" s="1">
        <v>43</v>
      </c>
      <c r="AB106" s="1">
        <v>7</v>
      </c>
      <c r="BY106" s="10"/>
      <c r="BZ106" s="1" t="s">
        <v>12</v>
      </c>
      <c r="CB106" s="1">
        <v>6</v>
      </c>
      <c r="CC106" s="1" t="str">
        <v>Tom</v>
      </c>
      <c r="CD106" s="1" t="str">
        <v>6.060</v>
      </c>
      <c r="CE106" s="1">
        <v>301</v>
      </c>
      <c r="CG106" s="1">
        <v>6</v>
      </c>
      <c r="CH106" s="1" t="str">
        <v>Aurélien</v>
      </c>
      <c r="CI106" s="1" t="str">
        <v>2.800</v>
      </c>
      <c r="CJ106" s="1">
        <v>5</v>
      </c>
      <c r="CL106" s="1" t="str">
        <v>Samuel</v>
      </c>
      <c r="CM106" s="1">
        <v>5.9099526066350707</v>
      </c>
    </row>
    <row r="107" spans="1:91" x14ac:dyDescent="0.3">
      <c r="A107" s="1" t="s">
        <v>7</v>
      </c>
      <c r="B107" s="1">
        <v>72</v>
      </c>
      <c r="C107" s="1">
        <v>11</v>
      </c>
      <c r="D107" s="1">
        <v>1</v>
      </c>
      <c r="G107" s="1">
        <v>11</v>
      </c>
      <c r="H107" s="1">
        <v>1</v>
      </c>
      <c r="M107" s="1">
        <v>-11</v>
      </c>
      <c r="N107" s="1">
        <v>1</v>
      </c>
      <c r="U107" s="1">
        <v>-11</v>
      </c>
      <c r="V107" s="1">
        <v>1</v>
      </c>
      <c r="BY107" s="6"/>
      <c r="BZ107" s="1" t="s">
        <v>11</v>
      </c>
      <c r="CB107" s="1">
        <v>7</v>
      </c>
      <c r="CC107" s="1" t="str">
        <v>Samuel</v>
      </c>
      <c r="CD107" s="1" t="str">
        <v>5.910</v>
      </c>
      <c r="CE107" s="1">
        <v>211</v>
      </c>
      <c r="CG107" s="1">
        <v>7</v>
      </c>
      <c r="CH107" s="1" t="str">
        <v>Maxime_Go</v>
      </c>
      <c r="CI107" s="1" t="str">
        <v>0.727</v>
      </c>
      <c r="CJ107" s="1">
        <v>11</v>
      </c>
      <c r="CL107" s="1" t="str">
        <v>Joachim</v>
      </c>
      <c r="CM107" s="1">
        <v>5.8899082568807337</v>
      </c>
    </row>
    <row r="108" spans="1:91" x14ac:dyDescent="0.3">
      <c r="A108" s="1" t="s">
        <v>7</v>
      </c>
      <c r="B108" s="1">
        <v>71</v>
      </c>
      <c r="C108" s="1">
        <v>31</v>
      </c>
      <c r="D108" s="1">
        <v>5</v>
      </c>
      <c r="G108" s="1">
        <v>25</v>
      </c>
      <c r="H108" s="1">
        <v>5</v>
      </c>
      <c r="U108" s="1">
        <v>41</v>
      </c>
      <c r="V108" s="1">
        <v>5</v>
      </c>
      <c r="AW108" s="1">
        <v>14</v>
      </c>
      <c r="AX108" s="1">
        <v>5</v>
      </c>
      <c r="CB108" s="1">
        <v>8</v>
      </c>
      <c r="CC108" s="1" t="str">
        <v>Joachim</v>
      </c>
      <c r="CD108" s="1" t="str">
        <v>5.890</v>
      </c>
      <c r="CE108" s="1">
        <v>109</v>
      </c>
      <c r="CG108" s="1">
        <v>8</v>
      </c>
      <c r="CH108" s="1" t="str">
        <v>Robin</v>
      </c>
      <c r="CI108" s="1" t="str">
        <v>-0.083</v>
      </c>
      <c r="CJ108" s="1">
        <v>12</v>
      </c>
      <c r="CL108" s="1" t="str">
        <v>Mehdi</v>
      </c>
      <c r="CM108" s="1">
        <v>5.7018779342723001</v>
      </c>
    </row>
    <row r="109" spans="1:91" x14ac:dyDescent="0.3">
      <c r="A109" s="15" t="s">
        <v>7</v>
      </c>
      <c r="B109" s="15">
        <v>70</v>
      </c>
      <c r="C109" s="15">
        <v>79</v>
      </c>
      <c r="D109" s="15">
        <v>16</v>
      </c>
      <c r="E109" s="15">
        <v>99</v>
      </c>
      <c r="F109" s="15">
        <v>16</v>
      </c>
      <c r="G109" s="15">
        <v>139</v>
      </c>
      <c r="H109" s="15">
        <v>16</v>
      </c>
      <c r="I109" s="15"/>
      <c r="J109" s="15"/>
      <c r="K109" s="15"/>
      <c r="L109" s="15"/>
      <c r="M109" s="15">
        <v>4</v>
      </c>
      <c r="N109" s="15">
        <v>4</v>
      </c>
      <c r="O109" s="15"/>
      <c r="P109" s="15"/>
      <c r="Q109" s="15"/>
      <c r="R109" s="15"/>
      <c r="S109" s="15"/>
      <c r="T109" s="15"/>
      <c r="U109" s="15"/>
      <c r="V109" s="15"/>
      <c r="W109" s="15">
        <v>-9</v>
      </c>
      <c r="X109" s="15">
        <v>16</v>
      </c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Y109" s="7"/>
      <c r="BZ109" s="1" t="s">
        <v>14</v>
      </c>
      <c r="CB109" s="1">
        <v>9</v>
      </c>
      <c r="CC109" s="1" t="str">
        <v>Mehdi</v>
      </c>
      <c r="CD109" s="1" t="str">
        <v>5.702</v>
      </c>
      <c r="CE109" s="1">
        <v>426</v>
      </c>
      <c r="CL109" s="1" t="str">
        <v>Jules</v>
      </c>
      <c r="CM109" s="1">
        <v>5.6583333333333332</v>
      </c>
    </row>
    <row r="110" spans="1:91" x14ac:dyDescent="0.3">
      <c r="A110" s="15" t="s">
        <v>7</v>
      </c>
      <c r="B110" s="15">
        <v>69</v>
      </c>
      <c r="C110" s="15">
        <v>80</v>
      </c>
      <c r="D110" s="15">
        <v>12</v>
      </c>
      <c r="E110" s="15">
        <v>97</v>
      </c>
      <c r="F110" s="15">
        <v>12</v>
      </c>
      <c r="G110" s="15">
        <v>43</v>
      </c>
      <c r="H110" s="15">
        <v>12</v>
      </c>
      <c r="I110" s="15"/>
      <c r="J110" s="15"/>
      <c r="K110" s="15"/>
      <c r="L110" s="15"/>
      <c r="M110" s="15">
        <v>59</v>
      </c>
      <c r="N110" s="15">
        <v>12</v>
      </c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Y110" s="8"/>
      <c r="BZ110" s="1" t="s">
        <v>13</v>
      </c>
      <c r="CB110" s="1">
        <v>10</v>
      </c>
      <c r="CC110" s="1" t="str">
        <v>Jules</v>
      </c>
      <c r="CD110" s="1" t="str">
        <v>5.658</v>
      </c>
      <c r="CE110" s="1">
        <v>240</v>
      </c>
      <c r="CL110" s="1" t="str">
        <v>Damien</v>
      </c>
      <c r="CM110" s="1">
        <v>5.4266487213997312</v>
      </c>
    </row>
    <row r="111" spans="1:91" x14ac:dyDescent="0.3">
      <c r="A111" s="15" t="s">
        <v>7</v>
      </c>
      <c r="B111" s="15">
        <v>68</v>
      </c>
      <c r="C111" s="15">
        <v>50</v>
      </c>
      <c r="D111" s="15">
        <v>8</v>
      </c>
      <c r="E111" s="15">
        <v>39</v>
      </c>
      <c r="F111" s="15">
        <v>8</v>
      </c>
      <c r="G111" s="15">
        <v>64</v>
      </c>
      <c r="H111" s="15">
        <v>8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>
        <v>6</v>
      </c>
      <c r="T111" s="15">
        <v>8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Y111" s="9"/>
      <c r="BZ111" s="1" t="s">
        <v>10</v>
      </c>
      <c r="CB111" s="1">
        <v>11</v>
      </c>
      <c r="CC111" s="1" t="str">
        <v>Damien</v>
      </c>
      <c r="CD111" s="1" t="str">
        <v>5.427</v>
      </c>
      <c r="CE111" s="1">
        <v>743</v>
      </c>
      <c r="CL111" s="1" t="str">
        <v>Achille</v>
      </c>
      <c r="CM111" s="1">
        <v>5.4065138721351023</v>
      </c>
    </row>
    <row r="112" spans="1:91" x14ac:dyDescent="0.3">
      <c r="A112" s="15" t="s">
        <v>7</v>
      </c>
      <c r="B112" s="15">
        <v>67</v>
      </c>
      <c r="C112" s="15">
        <v>19</v>
      </c>
      <c r="D112" s="15">
        <v>3</v>
      </c>
      <c r="E112" s="15"/>
      <c r="F112" s="15"/>
      <c r="G112" s="15">
        <v>8</v>
      </c>
      <c r="H112" s="15">
        <v>3</v>
      </c>
      <c r="I112" s="15">
        <v>19</v>
      </c>
      <c r="J112" s="15">
        <v>3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>
        <v>8</v>
      </c>
      <c r="AT112" s="15">
        <v>3</v>
      </c>
      <c r="AU112" s="15"/>
      <c r="AV112" s="15"/>
      <c r="AW112" s="15"/>
      <c r="AX112" s="15"/>
      <c r="AY112" s="15"/>
      <c r="CB112" s="1">
        <v>12</v>
      </c>
      <c r="CC112" s="1" t="str">
        <v>Achille</v>
      </c>
      <c r="CD112" s="1" t="str">
        <v>5.407</v>
      </c>
      <c r="CE112" s="1">
        <v>829</v>
      </c>
      <c r="CL112" s="1" t="str">
        <v>Joey</v>
      </c>
      <c r="CM112" s="1">
        <v>5.191919191919192</v>
      </c>
    </row>
    <row r="113" spans="1:91" x14ac:dyDescent="0.3">
      <c r="A113" s="15" t="s">
        <v>7</v>
      </c>
      <c r="B113" s="15">
        <v>66</v>
      </c>
      <c r="C113" s="15">
        <v>13</v>
      </c>
      <c r="D113" s="15">
        <v>3</v>
      </c>
      <c r="E113" s="15"/>
      <c r="F113" s="15"/>
      <c r="G113" s="15">
        <v>54</v>
      </c>
      <c r="H113" s="15">
        <v>3</v>
      </c>
      <c r="I113" s="15">
        <v>0</v>
      </c>
      <c r="J113" s="15">
        <v>1</v>
      </c>
      <c r="K113" s="15"/>
      <c r="L113" s="15"/>
      <c r="M113" s="15">
        <v>17</v>
      </c>
      <c r="N113" s="15">
        <v>3</v>
      </c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>
        <v>0</v>
      </c>
      <c r="AF113" s="15">
        <v>2</v>
      </c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Y113" s="1" t="s">
        <v>1</v>
      </c>
      <c r="BZ113" s="1">
        <f>AVERAGE(C1:BF1)</f>
        <v>5.1672632832588938</v>
      </c>
      <c r="CB113" s="1">
        <v>13</v>
      </c>
      <c r="CC113" s="1" t="str">
        <v>Joey</v>
      </c>
      <c r="CD113" s="1" t="str">
        <v>5.192</v>
      </c>
      <c r="CE113" s="1">
        <v>99</v>
      </c>
      <c r="CL113" s="1" t="str">
        <v>Lou</v>
      </c>
      <c r="CM113" s="1">
        <v>4.8692307692307688</v>
      </c>
    </row>
    <row r="114" spans="1:91" x14ac:dyDescent="0.3">
      <c r="A114" s="15" t="s">
        <v>7</v>
      </c>
      <c r="B114" s="15">
        <v>65</v>
      </c>
      <c r="C114" s="15"/>
      <c r="D114" s="15"/>
      <c r="E114" s="15"/>
      <c r="F114" s="15"/>
      <c r="G114" s="15">
        <v>70</v>
      </c>
      <c r="H114" s="15">
        <v>8</v>
      </c>
      <c r="I114" s="15">
        <v>-9</v>
      </c>
      <c r="J114" s="15">
        <v>8</v>
      </c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>
        <v>81</v>
      </c>
      <c r="V114" s="15">
        <v>8</v>
      </c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>
        <v>0</v>
      </c>
      <c r="AT114" s="15">
        <v>8</v>
      </c>
      <c r="AU114" s="15"/>
      <c r="AV114" s="15"/>
      <c r="AW114" s="15"/>
      <c r="AX114" s="15"/>
      <c r="AY114" s="15"/>
      <c r="CB114" s="1">
        <v>14</v>
      </c>
      <c r="CC114" s="1" t="str">
        <v>Lou</v>
      </c>
      <c r="CD114" s="1" t="str">
        <v>4.869</v>
      </c>
      <c r="CE114" s="1">
        <v>130</v>
      </c>
      <c r="CL114" s="1" t="str">
        <v>Paul</v>
      </c>
      <c r="CM114" s="1">
        <v>4.8125</v>
      </c>
    </row>
    <row r="115" spans="1:91" x14ac:dyDescent="0.3">
      <c r="A115" s="15" t="s">
        <v>23</v>
      </c>
      <c r="B115" s="15">
        <v>64</v>
      </c>
      <c r="C115" s="15">
        <v>38</v>
      </c>
      <c r="D115" s="15">
        <v>7</v>
      </c>
      <c r="E115" s="15">
        <v>96</v>
      </c>
      <c r="F115" s="15">
        <v>8</v>
      </c>
      <c r="G115" s="15">
        <v>38</v>
      </c>
      <c r="H115" s="15">
        <v>8</v>
      </c>
      <c r="I115" s="15">
        <v>25</v>
      </c>
      <c r="J115" s="15">
        <v>8</v>
      </c>
      <c r="K115" s="15"/>
      <c r="L115" s="15"/>
      <c r="M115" s="15"/>
      <c r="N115" s="15"/>
      <c r="O115" s="15"/>
      <c r="P115" s="15"/>
      <c r="Q115" s="15">
        <v>25</v>
      </c>
      <c r="R115" s="15">
        <v>5</v>
      </c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>
        <v>15</v>
      </c>
      <c r="CC115" s="1" t="str">
        <v>Paul</v>
      </c>
      <c r="CD115" s="1" t="str">
        <v>4.813</v>
      </c>
      <c r="CE115" s="1">
        <v>32</v>
      </c>
      <c r="CL115" s="1" t="str">
        <v>Marie</v>
      </c>
      <c r="CM115" s="1">
        <v>4.5814332247556999</v>
      </c>
    </row>
    <row r="116" spans="1:91" x14ac:dyDescent="0.3">
      <c r="A116" s="15" t="s">
        <v>23</v>
      </c>
      <c r="B116" s="15">
        <v>63</v>
      </c>
      <c r="C116" s="15">
        <v>13</v>
      </c>
      <c r="D116" s="15">
        <v>1</v>
      </c>
      <c r="E116" s="15"/>
      <c r="F116" s="15"/>
      <c r="G116" s="15"/>
      <c r="H116" s="15"/>
      <c r="I116" s="15">
        <v>0</v>
      </c>
      <c r="J116" s="15">
        <v>1</v>
      </c>
      <c r="K116" s="15"/>
      <c r="L116" s="15"/>
      <c r="M116" s="15"/>
      <c r="N116" s="15"/>
      <c r="O116" s="15"/>
      <c r="P116" s="15"/>
      <c r="Q116" s="15">
        <v>13</v>
      </c>
      <c r="R116" s="15">
        <v>1</v>
      </c>
      <c r="S116" s="15"/>
      <c r="T116" s="15"/>
      <c r="U116" s="15"/>
      <c r="V116" s="15"/>
      <c r="W116" s="15">
        <v>0</v>
      </c>
      <c r="X116" s="15">
        <v>1</v>
      </c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Z116" s="1" t="s">
        <v>15</v>
      </c>
      <c r="CB116" s="1">
        <v>16</v>
      </c>
      <c r="CC116" s="1" t="str">
        <v>Marie</v>
      </c>
      <c r="CD116" s="1" t="str">
        <v>4.581</v>
      </c>
      <c r="CE116" s="1">
        <v>307</v>
      </c>
      <c r="CL116" s="1" t="str">
        <v>Stanislas</v>
      </c>
      <c r="CM116" s="1">
        <v>4.4814814814814818</v>
      </c>
    </row>
    <row r="117" spans="1:91" x14ac:dyDescent="0.3">
      <c r="A117" s="15" t="s">
        <v>7</v>
      </c>
      <c r="B117" s="15">
        <v>62</v>
      </c>
      <c r="C117" s="15">
        <v>118</v>
      </c>
      <c r="D117" s="15">
        <v>24</v>
      </c>
      <c r="E117" s="15">
        <v>103</v>
      </c>
      <c r="F117" s="15">
        <v>24</v>
      </c>
      <c r="G117" s="15">
        <v>102</v>
      </c>
      <c r="H117" s="15">
        <v>24</v>
      </c>
      <c r="I117" s="15">
        <v>0</v>
      </c>
      <c r="J117" s="15">
        <v>4</v>
      </c>
      <c r="K117" s="15"/>
      <c r="L117" s="15"/>
      <c r="M117" s="15"/>
      <c r="N117" s="15"/>
      <c r="O117" s="15">
        <v>225</v>
      </c>
      <c r="P117" s="15">
        <v>23</v>
      </c>
      <c r="Q117" s="15"/>
      <c r="R117" s="15"/>
      <c r="S117" s="15"/>
      <c r="T117" s="15"/>
      <c r="U117" s="15"/>
      <c r="V117" s="15"/>
      <c r="W117" s="15">
        <v>11</v>
      </c>
      <c r="X117" s="15">
        <v>1</v>
      </c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Y117" s="11"/>
      <c r="BZ117" s="1" t="s">
        <v>38</v>
      </c>
      <c r="CB117" s="1">
        <v>17</v>
      </c>
      <c r="CC117" s="1" t="str">
        <v>Stanislas</v>
      </c>
      <c r="CD117" s="1" t="str">
        <v>4.481</v>
      </c>
      <c r="CE117" s="1">
        <v>27</v>
      </c>
      <c r="CL117" s="1" t="str">
        <v>Quentin</v>
      </c>
      <c r="CM117" s="1">
        <v>4.096774193548387</v>
      </c>
    </row>
    <row r="118" spans="1:91" x14ac:dyDescent="0.3">
      <c r="A118" s="15" t="s">
        <v>7</v>
      </c>
      <c r="B118" s="15">
        <v>61</v>
      </c>
      <c r="C118" s="15"/>
      <c r="D118" s="15"/>
      <c r="E118" s="15">
        <v>11</v>
      </c>
      <c r="F118" s="15">
        <v>4</v>
      </c>
      <c r="G118" s="15"/>
      <c r="H118" s="15"/>
      <c r="I118" s="15"/>
      <c r="J118" s="15"/>
      <c r="K118" s="15"/>
      <c r="L118" s="15"/>
      <c r="M118" s="15">
        <v>46</v>
      </c>
      <c r="N118" s="15">
        <v>4</v>
      </c>
      <c r="O118" s="15">
        <v>45</v>
      </c>
      <c r="P118" s="15">
        <v>4</v>
      </c>
      <c r="Q118" s="15">
        <v>0</v>
      </c>
      <c r="R118" s="15">
        <v>4</v>
      </c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BY118" s="14"/>
      <c r="BZ118" s="1" t="s">
        <v>17</v>
      </c>
      <c r="CB118" s="1">
        <v>18</v>
      </c>
      <c r="CC118" s="1" t="str">
        <v>Hugo</v>
      </c>
      <c r="CD118" s="1" t="str">
        <v>4.429</v>
      </c>
      <c r="CE118" s="1">
        <v>21</v>
      </c>
      <c r="CL118" s="1" t="str">
        <v>Luca</v>
      </c>
      <c r="CM118" s="1">
        <v>3.129032258064516</v>
      </c>
    </row>
    <row r="119" spans="1:91" x14ac:dyDescent="0.3">
      <c r="A119" s="15" t="s">
        <v>7</v>
      </c>
      <c r="B119" s="15">
        <v>60</v>
      </c>
      <c r="C119" s="15">
        <v>106</v>
      </c>
      <c r="D119" s="15">
        <v>12</v>
      </c>
      <c r="E119" s="15"/>
      <c r="F119" s="15"/>
      <c r="G119" s="15">
        <v>88</v>
      </c>
      <c r="H119" s="15">
        <v>12</v>
      </c>
      <c r="I119" s="15"/>
      <c r="J119" s="15"/>
      <c r="K119" s="15"/>
      <c r="L119" s="15"/>
      <c r="M119" s="15">
        <v>31</v>
      </c>
      <c r="N119" s="15">
        <v>12</v>
      </c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>
        <v>8</v>
      </c>
      <c r="AD119" s="15">
        <v>4</v>
      </c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>
        <v>-1</v>
      </c>
      <c r="AP119" s="15">
        <v>12</v>
      </c>
      <c r="AQ119" s="15"/>
      <c r="AR119" s="15"/>
      <c r="AS119" s="15"/>
      <c r="AT119" s="15"/>
      <c r="AU119" s="15"/>
      <c r="AV119" s="15"/>
      <c r="AW119" s="15"/>
      <c r="AX119" s="15"/>
      <c r="AY119" s="15"/>
      <c r="BY119" s="13"/>
      <c r="BZ119" s="1" t="s">
        <v>18</v>
      </c>
      <c r="CB119" s="1">
        <v>19</v>
      </c>
      <c r="CC119" s="1" t="str">
        <v>Quentin</v>
      </c>
      <c r="CD119" s="1" t="str">
        <v>4.097</v>
      </c>
      <c r="CE119" s="1">
        <v>93</v>
      </c>
      <c r="CL119" s="1" t="str">
        <v>Fantinne</v>
      </c>
      <c r="CM119" s="1">
        <v>2.9607843137254903</v>
      </c>
    </row>
    <row r="120" spans="1:91" x14ac:dyDescent="0.3">
      <c r="A120" s="15" t="s">
        <v>7</v>
      </c>
      <c r="B120" s="15">
        <v>59</v>
      </c>
      <c r="C120" s="15"/>
      <c r="D120" s="15"/>
      <c r="E120" s="15">
        <v>129</v>
      </c>
      <c r="F120" s="15">
        <v>10</v>
      </c>
      <c r="G120" s="15"/>
      <c r="H120" s="15"/>
      <c r="I120" s="15">
        <v>17</v>
      </c>
      <c r="J120" s="15">
        <v>10</v>
      </c>
      <c r="K120" s="15">
        <v>-41</v>
      </c>
      <c r="L120" s="15">
        <v>10</v>
      </c>
      <c r="M120" s="15">
        <v>62</v>
      </c>
      <c r="N120" s="15">
        <v>10</v>
      </c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BY120" s="12"/>
      <c r="BZ120" s="1" t="s">
        <v>16</v>
      </c>
      <c r="CB120" s="1">
        <v>20</v>
      </c>
      <c r="CC120" s="1" t="str">
        <v>Luca</v>
      </c>
      <c r="CD120" s="1" t="str">
        <v>3.129</v>
      </c>
      <c r="CE120" s="1">
        <v>186</v>
      </c>
      <c r="CL120" s="1" t="str">
        <v>Loulou</v>
      </c>
      <c r="CM120" s="1">
        <v>2.4266666666666667</v>
      </c>
    </row>
    <row r="121" spans="1:91" x14ac:dyDescent="0.3">
      <c r="A121" s="15" t="s">
        <v>7</v>
      </c>
      <c r="B121" s="15">
        <v>58</v>
      </c>
      <c r="C121" s="15"/>
      <c r="D121" s="15"/>
      <c r="E121" s="15">
        <v>49</v>
      </c>
      <c r="F121" s="15">
        <v>14</v>
      </c>
      <c r="G121" s="15">
        <v>60</v>
      </c>
      <c r="H121" s="15">
        <v>14</v>
      </c>
      <c r="I121" s="15">
        <v>94</v>
      </c>
      <c r="J121" s="15">
        <v>14</v>
      </c>
      <c r="K121" s="15"/>
      <c r="L121" s="15"/>
      <c r="M121" s="15"/>
      <c r="N121" s="15"/>
      <c r="O121" s="15"/>
      <c r="P121" s="15"/>
      <c r="Q121" s="15">
        <v>70</v>
      </c>
      <c r="R121" s="15">
        <v>14</v>
      </c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CB121" s="1">
        <v>21</v>
      </c>
      <c r="CC121" s="1" t="str">
        <v>gaspard</v>
      </c>
      <c r="CD121" s="1" t="str">
        <v>3.067</v>
      </c>
      <c r="CE121" s="1">
        <v>30</v>
      </c>
      <c r="CL121" s="1" t="str">
        <v>Harrison</v>
      </c>
      <c r="CM121" s="1" t="str">
        <v>/</v>
      </c>
    </row>
    <row r="122" spans="1:91" x14ac:dyDescent="0.3">
      <c r="A122" s="15" t="s">
        <v>7</v>
      </c>
      <c r="B122" s="15">
        <v>57</v>
      </c>
      <c r="C122" s="15"/>
      <c r="D122" s="15"/>
      <c r="E122" s="15">
        <v>67</v>
      </c>
      <c r="F122" s="15">
        <v>4</v>
      </c>
      <c r="G122" s="15">
        <v>36</v>
      </c>
      <c r="H122" s="15">
        <v>4</v>
      </c>
      <c r="I122" s="15">
        <v>16</v>
      </c>
      <c r="J122" s="15">
        <v>2</v>
      </c>
      <c r="K122" s="15"/>
      <c r="L122" s="15"/>
      <c r="M122" s="15">
        <v>-24</v>
      </c>
      <c r="N122" s="15">
        <v>3</v>
      </c>
      <c r="O122" s="15"/>
      <c r="P122" s="15"/>
      <c r="Q122" s="15">
        <v>31</v>
      </c>
      <c r="R122" s="15">
        <v>3</v>
      </c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B122" s="1">
        <v>22</v>
      </c>
      <c r="CC122" s="1" t="str">
        <v>Fantinne</v>
      </c>
      <c r="CD122" s="1" t="str">
        <v>2.961</v>
      </c>
      <c r="CE122" s="1">
        <v>51</v>
      </c>
      <c r="CL122" s="1" t="str">
        <v>Pascale</v>
      </c>
      <c r="CM122" s="1" t="str">
        <v>/</v>
      </c>
    </row>
    <row r="123" spans="1:91" x14ac:dyDescent="0.3">
      <c r="A123" s="15" t="s">
        <v>7</v>
      </c>
      <c r="B123" s="15">
        <v>56</v>
      </c>
      <c r="C123" s="15"/>
      <c r="D123" s="15"/>
      <c r="E123" s="15"/>
      <c r="F123" s="15"/>
      <c r="G123" s="15">
        <v>66</v>
      </c>
      <c r="H123" s="15">
        <v>8</v>
      </c>
      <c r="I123" s="15"/>
      <c r="J123" s="15"/>
      <c r="K123" s="15"/>
      <c r="L123" s="15"/>
      <c r="M123" s="15">
        <v>50</v>
      </c>
      <c r="N123" s="15">
        <v>8</v>
      </c>
      <c r="O123" s="15"/>
      <c r="P123" s="15"/>
      <c r="Q123" s="15">
        <v>73</v>
      </c>
      <c r="R123" s="15">
        <v>8</v>
      </c>
      <c r="S123" s="15">
        <v>27</v>
      </c>
      <c r="T123" s="15">
        <v>8</v>
      </c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>
        <v>21</v>
      </c>
      <c r="AN123" s="15">
        <v>8</v>
      </c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B123" s="1">
        <v>23</v>
      </c>
      <c r="CC123" s="1" t="str">
        <v>Loulou</v>
      </c>
      <c r="CD123" s="1" t="str">
        <v>2.427</v>
      </c>
      <c r="CE123" s="1">
        <v>75</v>
      </c>
      <c r="CL123" s="1" t="str">
        <v>Robin</v>
      </c>
      <c r="CM123" s="1" t="str">
        <v>/</v>
      </c>
    </row>
    <row r="124" spans="1:91" x14ac:dyDescent="0.3">
      <c r="A124" s="15" t="s">
        <v>25</v>
      </c>
      <c r="B124" s="15" t="s">
        <v>26</v>
      </c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CL124" s="1" t="str">
        <v>Maxime_Go</v>
      </c>
      <c r="CM124" s="1" t="str">
        <v>/</v>
      </c>
    </row>
    <row r="125" spans="1:91" x14ac:dyDescent="0.3">
      <c r="A125" s="15" t="s">
        <v>7</v>
      </c>
      <c r="B125" s="15">
        <v>55</v>
      </c>
      <c r="C125" s="15">
        <v>100</v>
      </c>
      <c r="D125" s="15">
        <v>16</v>
      </c>
      <c r="E125" s="15"/>
      <c r="F125" s="15"/>
      <c r="G125" s="15">
        <v>188</v>
      </c>
      <c r="H125" s="15">
        <v>16</v>
      </c>
      <c r="I125" s="15"/>
      <c r="J125" s="15"/>
      <c r="K125" s="15"/>
      <c r="L125" s="15"/>
      <c r="M125" s="15">
        <v>34</v>
      </c>
      <c r="N125" s="15">
        <v>16</v>
      </c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>
        <v>60</v>
      </c>
      <c r="AR125" s="15">
        <v>16</v>
      </c>
      <c r="AS125" s="15"/>
      <c r="AT125" s="15"/>
      <c r="AU125" s="15"/>
      <c r="AV125" s="15"/>
      <c r="AW125" s="15"/>
      <c r="AX125" s="15"/>
      <c r="AY125" s="15"/>
      <c r="CL125" s="1" t="str">
        <v>Maxime_Ca</v>
      </c>
      <c r="CM125" s="1" t="str">
        <v>/</v>
      </c>
    </row>
    <row r="126" spans="1:91" x14ac:dyDescent="0.3">
      <c r="A126" s="15" t="s">
        <v>7</v>
      </c>
      <c r="B126" s="15">
        <v>54</v>
      </c>
      <c r="C126" s="15">
        <v>23</v>
      </c>
      <c r="D126" s="15">
        <v>5</v>
      </c>
      <c r="E126" s="15">
        <v>29</v>
      </c>
      <c r="F126" s="15">
        <v>6</v>
      </c>
      <c r="G126" s="15">
        <v>25</v>
      </c>
      <c r="H126" s="15">
        <v>5</v>
      </c>
      <c r="I126" s="15">
        <v>42</v>
      </c>
      <c r="J126" s="15">
        <v>6</v>
      </c>
      <c r="K126" s="15"/>
      <c r="L126" s="15"/>
      <c r="M126" s="15">
        <v>-14</v>
      </c>
      <c r="N126" s="15">
        <v>2</v>
      </c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CL126" s="1" t="str">
        <v>Aurélien</v>
      </c>
      <c r="CM126" s="1" t="str">
        <v>/</v>
      </c>
    </row>
    <row r="127" spans="1:91" x14ac:dyDescent="0.3">
      <c r="A127" s="15" t="s">
        <v>7</v>
      </c>
      <c r="B127" s="15">
        <v>53</v>
      </c>
      <c r="C127" s="15">
        <v>45</v>
      </c>
      <c r="D127" s="15">
        <v>8</v>
      </c>
      <c r="E127" s="15"/>
      <c r="F127" s="15"/>
      <c r="G127" s="15">
        <v>68</v>
      </c>
      <c r="H127" s="15">
        <v>8</v>
      </c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>
        <v>-4</v>
      </c>
      <c r="AB127" s="15">
        <v>8</v>
      </c>
      <c r="AC127" s="15"/>
      <c r="AD127" s="15"/>
      <c r="AE127" s="15"/>
      <c r="AF127" s="15"/>
      <c r="AG127" s="15">
        <v>91</v>
      </c>
      <c r="AH127" s="15">
        <v>8</v>
      </c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L127" s="1" t="str">
        <v>Émile</v>
      </c>
      <c r="CM127" s="1" t="str">
        <v>/</v>
      </c>
    </row>
    <row r="128" spans="1:91" x14ac:dyDescent="0.3">
      <c r="A128" s="15" t="s">
        <v>7</v>
      </c>
      <c r="B128" s="15">
        <v>52</v>
      </c>
      <c r="C128" s="15"/>
      <c r="D128" s="15"/>
      <c r="E128" s="15"/>
      <c r="F128" s="15"/>
      <c r="G128" s="15">
        <v>94</v>
      </c>
      <c r="H128" s="15">
        <v>16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>
        <v>42</v>
      </c>
      <c r="V128" s="15">
        <v>16</v>
      </c>
      <c r="W128" s="15"/>
      <c r="X128" s="15"/>
      <c r="Y128" s="15"/>
      <c r="Z128" s="15"/>
      <c r="AA128" s="15">
        <v>75</v>
      </c>
      <c r="AB128" s="15">
        <v>16</v>
      </c>
      <c r="AC128" s="15"/>
      <c r="AD128" s="15"/>
      <c r="AE128" s="15"/>
      <c r="AF128" s="15"/>
      <c r="AG128" s="15">
        <v>64</v>
      </c>
      <c r="AH128" s="15">
        <v>16</v>
      </c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L128" s="1" t="str">
        <v>Amélie</v>
      </c>
      <c r="CM128" s="1" t="str">
        <v>/</v>
      </c>
    </row>
    <row r="129" spans="1:93" x14ac:dyDescent="0.3">
      <c r="A129" s="15" t="s">
        <v>7</v>
      </c>
      <c r="B129" s="15">
        <v>51</v>
      </c>
      <c r="C129" s="15">
        <v>37</v>
      </c>
      <c r="D129" s="15">
        <v>14</v>
      </c>
      <c r="E129" s="15"/>
      <c r="F129" s="15"/>
      <c r="G129" s="15">
        <v>105</v>
      </c>
      <c r="H129" s="15">
        <v>14</v>
      </c>
      <c r="I129" s="15"/>
      <c r="J129" s="15"/>
      <c r="K129" s="15"/>
      <c r="L129" s="15"/>
      <c r="M129" s="15">
        <v>84</v>
      </c>
      <c r="N129" s="15">
        <v>14</v>
      </c>
      <c r="O129" s="15"/>
      <c r="P129" s="15"/>
      <c r="Q129" s="15"/>
      <c r="R129" s="15"/>
      <c r="S129" s="15">
        <v>91</v>
      </c>
      <c r="T129" s="15">
        <v>14</v>
      </c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</row>
    <row r="130" spans="1:93" x14ac:dyDescent="0.3">
      <c r="A130" s="15" t="s">
        <v>7</v>
      </c>
      <c r="B130" s="15">
        <v>50</v>
      </c>
      <c r="C130" s="15">
        <v>32</v>
      </c>
      <c r="D130" s="15">
        <v>7</v>
      </c>
      <c r="E130" s="15"/>
      <c r="F130" s="15"/>
      <c r="G130" s="15">
        <v>50</v>
      </c>
      <c r="H130" s="15">
        <v>7</v>
      </c>
      <c r="I130" s="15"/>
      <c r="J130" s="15"/>
      <c r="K130" s="15"/>
      <c r="L130" s="15"/>
      <c r="M130" s="15">
        <v>40</v>
      </c>
      <c r="N130" s="15">
        <v>7</v>
      </c>
      <c r="O130" s="15"/>
      <c r="P130" s="15"/>
      <c r="Q130" s="15"/>
      <c r="R130" s="15"/>
      <c r="S130" s="15">
        <v>38</v>
      </c>
      <c r="T130" s="15">
        <v>7</v>
      </c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</row>
    <row r="131" spans="1:93" x14ac:dyDescent="0.3">
      <c r="A131" s="15" t="s">
        <v>7</v>
      </c>
      <c r="B131" s="15">
        <v>49</v>
      </c>
      <c r="C131" s="15">
        <v>47</v>
      </c>
      <c r="D131" s="15">
        <v>9</v>
      </c>
      <c r="E131" s="15"/>
      <c r="F131" s="15"/>
      <c r="G131" s="15">
        <v>94</v>
      </c>
      <c r="H131" s="15">
        <v>9</v>
      </c>
      <c r="I131" s="15"/>
      <c r="J131" s="15"/>
      <c r="K131" s="15">
        <v>13</v>
      </c>
      <c r="L131" s="15">
        <v>2</v>
      </c>
      <c r="M131" s="15">
        <v>47</v>
      </c>
      <c r="N131" s="15">
        <v>7</v>
      </c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>
        <v>14</v>
      </c>
      <c r="AB131" s="15">
        <v>9</v>
      </c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</row>
    <row r="132" spans="1:93" x14ac:dyDescent="0.3">
      <c r="A132" s="15" t="s">
        <v>7</v>
      </c>
      <c r="B132" s="15">
        <v>48</v>
      </c>
      <c r="C132" s="15">
        <v>90</v>
      </c>
      <c r="D132" s="15">
        <v>7</v>
      </c>
      <c r="E132" s="15"/>
      <c r="F132" s="15"/>
      <c r="G132" s="15">
        <v>48</v>
      </c>
      <c r="H132" s="15">
        <v>7</v>
      </c>
      <c r="I132" s="15"/>
      <c r="J132" s="15"/>
      <c r="K132" s="15"/>
      <c r="L132" s="15"/>
      <c r="M132" s="15">
        <v>1</v>
      </c>
      <c r="N132" s="15">
        <v>7</v>
      </c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>
        <v>-4</v>
      </c>
      <c r="AB132" s="15">
        <v>7</v>
      </c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</row>
    <row r="133" spans="1:93" x14ac:dyDescent="0.3">
      <c r="A133" s="15" t="s">
        <v>7</v>
      </c>
      <c r="B133" s="15">
        <v>47</v>
      </c>
      <c r="C133" s="15">
        <v>87</v>
      </c>
      <c r="D133" s="15">
        <v>5</v>
      </c>
      <c r="E133" s="15"/>
      <c r="F133" s="15"/>
      <c r="G133" s="15">
        <v>11</v>
      </c>
      <c r="H133" s="15">
        <v>5</v>
      </c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>
        <v>21</v>
      </c>
      <c r="V133" s="15">
        <v>5</v>
      </c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>
        <v>21</v>
      </c>
      <c r="AH133" s="15">
        <v>5</v>
      </c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L133" s="1" cm="1">
        <f t="array" ref="CL133:CO152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M133" s="1" t="str">
        <v>Gauthier</v>
      </c>
      <c r="CN133" s="1">
        <v>7.2530000000000001</v>
      </c>
      <c r="CO133" s="1">
        <v>79</v>
      </c>
    </row>
    <row r="134" spans="1:93" x14ac:dyDescent="0.3">
      <c r="A134" s="15" t="s">
        <v>7</v>
      </c>
      <c r="B134" s="15">
        <v>46</v>
      </c>
      <c r="C134" s="15">
        <v>29</v>
      </c>
      <c r="D134" s="15">
        <v>12</v>
      </c>
      <c r="E134" s="15"/>
      <c r="F134" s="15"/>
      <c r="G134" s="15">
        <v>78</v>
      </c>
      <c r="H134" s="15">
        <v>13</v>
      </c>
      <c r="I134" s="15"/>
      <c r="J134" s="15"/>
      <c r="K134" s="15">
        <v>93</v>
      </c>
      <c r="L134" s="15">
        <v>12</v>
      </c>
      <c r="M134" s="15">
        <v>32</v>
      </c>
      <c r="N134" s="15">
        <v>11</v>
      </c>
      <c r="O134" s="15"/>
      <c r="P134" s="15"/>
      <c r="Q134" s="15"/>
      <c r="R134" s="15"/>
      <c r="S134" s="15">
        <v>119</v>
      </c>
      <c r="T134" s="15">
        <v>12</v>
      </c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L134" s="1">
        <v>2</v>
      </c>
      <c r="CM134" s="1" t="str">
        <v>Boris</v>
      </c>
      <c r="CN134" s="1">
        <v>7.1550000000000002</v>
      </c>
      <c r="CO134" s="1">
        <v>1160</v>
      </c>
    </row>
    <row r="135" spans="1:93" x14ac:dyDescent="0.3">
      <c r="A135" s="15" t="s">
        <v>7</v>
      </c>
      <c r="B135" s="15">
        <v>45</v>
      </c>
      <c r="C135" s="15">
        <v>102</v>
      </c>
      <c r="D135" s="15">
        <v>16</v>
      </c>
      <c r="E135" s="15"/>
      <c r="F135" s="15"/>
      <c r="G135" s="15">
        <v>138</v>
      </c>
      <c r="H135" s="15">
        <v>16</v>
      </c>
      <c r="I135" s="15"/>
      <c r="J135" s="15"/>
      <c r="K135" s="15">
        <v>51</v>
      </c>
      <c r="L135" s="15">
        <v>8</v>
      </c>
      <c r="M135" s="15">
        <v>5</v>
      </c>
      <c r="N135" s="15">
        <v>8</v>
      </c>
      <c r="O135" s="15"/>
      <c r="P135" s="15"/>
      <c r="Q135" s="15"/>
      <c r="R135" s="15"/>
      <c r="S135" s="15">
        <v>116</v>
      </c>
      <c r="T135" s="15">
        <v>16</v>
      </c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L135" s="1">
        <v>3</v>
      </c>
      <c r="CM135" s="1" t="str">
        <v>Célian</v>
      </c>
      <c r="CN135" s="1">
        <v>6.266</v>
      </c>
      <c r="CO135" s="1">
        <v>354</v>
      </c>
    </row>
    <row r="136" spans="1:93" x14ac:dyDescent="0.3">
      <c r="A136" s="15" t="s">
        <v>7</v>
      </c>
      <c r="B136" s="15">
        <v>44</v>
      </c>
      <c r="C136" s="15">
        <v>104</v>
      </c>
      <c r="D136" s="15">
        <v>20</v>
      </c>
      <c r="E136" s="15">
        <v>119</v>
      </c>
      <c r="F136" s="15">
        <v>20</v>
      </c>
      <c r="G136" s="15">
        <v>128</v>
      </c>
      <c r="H136" s="15">
        <v>20</v>
      </c>
      <c r="I136" s="15"/>
      <c r="J136" s="15"/>
      <c r="K136" s="15"/>
      <c r="L136" s="15"/>
      <c r="M136" s="15"/>
      <c r="N136" s="15"/>
      <c r="O136" s="15"/>
      <c r="P136" s="15"/>
      <c r="Q136" s="15">
        <v>143</v>
      </c>
      <c r="R136" s="15">
        <v>20</v>
      </c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L136" s="1">
        <v>4</v>
      </c>
      <c r="CM136" s="1" t="str">
        <v>William</v>
      </c>
      <c r="CN136" s="1">
        <v>6.069</v>
      </c>
      <c r="CO136" s="1">
        <v>29</v>
      </c>
    </row>
    <row r="137" spans="1:93" x14ac:dyDescent="0.3">
      <c r="A137" s="15" t="s">
        <v>7</v>
      </c>
      <c r="B137" s="15">
        <v>43</v>
      </c>
      <c r="C137" s="15">
        <v>-16</v>
      </c>
      <c r="D137" s="15">
        <v>9</v>
      </c>
      <c r="E137" s="15"/>
      <c r="F137" s="15"/>
      <c r="G137" s="15">
        <v>94</v>
      </c>
      <c r="H137" s="15">
        <v>9</v>
      </c>
      <c r="I137" s="15"/>
      <c r="J137" s="15"/>
      <c r="K137" s="15"/>
      <c r="L137" s="15"/>
      <c r="M137" s="15">
        <v>58</v>
      </c>
      <c r="N137" s="15">
        <v>9</v>
      </c>
      <c r="O137" s="15"/>
      <c r="P137" s="15"/>
      <c r="Q137" s="15"/>
      <c r="R137" s="15"/>
      <c r="S137" s="15">
        <v>66</v>
      </c>
      <c r="T137" s="15">
        <v>9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L137" s="1">
        <v>5</v>
      </c>
      <c r="CM137" s="1" t="str">
        <v>Tom</v>
      </c>
      <c r="CN137" s="1">
        <v>6.06</v>
      </c>
      <c r="CO137" s="1">
        <v>301</v>
      </c>
    </row>
    <row r="138" spans="1:93" x14ac:dyDescent="0.3">
      <c r="A138" s="15" t="s">
        <v>7</v>
      </c>
      <c r="B138" s="15">
        <v>42</v>
      </c>
      <c r="C138" s="15">
        <v>63</v>
      </c>
      <c r="D138" s="15">
        <v>13</v>
      </c>
      <c r="E138" s="15">
        <v>89</v>
      </c>
      <c r="F138" s="15">
        <v>13</v>
      </c>
      <c r="G138" s="15">
        <v>43</v>
      </c>
      <c r="H138" s="15">
        <v>13</v>
      </c>
      <c r="I138" s="15"/>
      <c r="J138" s="15"/>
      <c r="K138" s="15"/>
      <c r="L138" s="15"/>
      <c r="M138" s="15"/>
      <c r="N138" s="15"/>
      <c r="O138" s="15"/>
      <c r="P138" s="15"/>
      <c r="Q138" s="15">
        <v>60</v>
      </c>
      <c r="R138" s="15">
        <v>13</v>
      </c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L138" s="1">
        <v>6</v>
      </c>
      <c r="CM138" s="1" t="str">
        <v>Samuel</v>
      </c>
      <c r="CN138" s="1">
        <v>5.91</v>
      </c>
      <c r="CO138" s="1">
        <v>211</v>
      </c>
    </row>
    <row r="139" spans="1:93" x14ac:dyDescent="0.3">
      <c r="A139" s="15" t="s">
        <v>7</v>
      </c>
      <c r="B139" s="15">
        <v>41</v>
      </c>
      <c r="C139" s="15">
        <v>16</v>
      </c>
      <c r="D139" s="15">
        <v>6</v>
      </c>
      <c r="E139" s="15">
        <v>16</v>
      </c>
      <c r="F139" s="15">
        <v>6</v>
      </c>
      <c r="G139" s="15">
        <v>21</v>
      </c>
      <c r="H139" s="15">
        <v>6</v>
      </c>
      <c r="I139" s="15">
        <v>40</v>
      </c>
      <c r="J139" s="15">
        <v>6</v>
      </c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CL139" s="1">
        <v>7</v>
      </c>
      <c r="CM139" s="1" t="str">
        <v>Joachim</v>
      </c>
      <c r="CN139" s="1">
        <v>5.89</v>
      </c>
      <c r="CO139" s="1">
        <v>109</v>
      </c>
    </row>
    <row r="140" spans="1:93" x14ac:dyDescent="0.3">
      <c r="A140" s="15" t="s">
        <v>7</v>
      </c>
      <c r="B140" s="15">
        <v>40</v>
      </c>
      <c r="C140" s="15">
        <v>58</v>
      </c>
      <c r="D140" s="15">
        <v>8</v>
      </c>
      <c r="E140" s="15">
        <v>22</v>
      </c>
      <c r="F140" s="15">
        <v>8</v>
      </c>
      <c r="G140" s="15">
        <v>62</v>
      </c>
      <c r="H140" s="15">
        <v>8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>
        <v>16</v>
      </c>
      <c r="AD140" s="15">
        <v>8</v>
      </c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>
        <v>22</v>
      </c>
      <c r="AZ140" s="15">
        <v>8</v>
      </c>
      <c r="CL140" s="1">
        <v>8</v>
      </c>
      <c r="CM140" s="1" t="str">
        <v>Mehdi</v>
      </c>
      <c r="CN140" s="1">
        <v>5.702</v>
      </c>
      <c r="CO140" s="1">
        <v>426</v>
      </c>
    </row>
    <row r="141" spans="1:93" x14ac:dyDescent="0.3">
      <c r="A141" s="15" t="s">
        <v>7</v>
      </c>
      <c r="B141" s="15">
        <v>39</v>
      </c>
      <c r="C141" s="15">
        <v>38</v>
      </c>
      <c r="D141" s="15">
        <v>4</v>
      </c>
      <c r="E141" s="15">
        <v>46</v>
      </c>
      <c r="F141" s="15">
        <v>4</v>
      </c>
      <c r="G141" s="15">
        <v>-14</v>
      </c>
      <c r="H141" s="15">
        <v>3</v>
      </c>
      <c r="I141" s="15">
        <v>38</v>
      </c>
      <c r="J141" s="15">
        <v>4</v>
      </c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>
        <v>0</v>
      </c>
      <c r="AF141" s="15">
        <v>1</v>
      </c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L141" s="1">
        <v>9</v>
      </c>
      <c r="CM141" s="1" t="str">
        <v>Jules</v>
      </c>
      <c r="CN141" s="1">
        <v>5.6580000000000004</v>
      </c>
      <c r="CO141" s="1">
        <v>240</v>
      </c>
    </row>
    <row r="142" spans="1:93" x14ac:dyDescent="0.3">
      <c r="A142" s="15" t="s">
        <v>7</v>
      </c>
      <c r="B142" s="15">
        <v>38</v>
      </c>
      <c r="C142" s="15">
        <v>47</v>
      </c>
      <c r="D142" s="15">
        <v>8</v>
      </c>
      <c r="E142" s="15"/>
      <c r="F142" s="15"/>
      <c r="G142" s="15">
        <v>46</v>
      </c>
      <c r="H142" s="15">
        <v>8</v>
      </c>
      <c r="I142" s="15"/>
      <c r="J142" s="15"/>
      <c r="K142" s="15">
        <v>65</v>
      </c>
      <c r="L142" s="15">
        <v>8</v>
      </c>
      <c r="M142" s="15"/>
      <c r="N142" s="15"/>
      <c r="O142" s="15">
        <v>47</v>
      </c>
      <c r="P142" s="15">
        <v>8</v>
      </c>
      <c r="Q142" s="15"/>
      <c r="R142" s="15"/>
      <c r="S142" s="15"/>
      <c r="T142" s="15"/>
      <c r="U142" s="15"/>
      <c r="V142" s="15"/>
      <c r="W142" s="15">
        <v>-8</v>
      </c>
      <c r="X142" s="15">
        <v>8</v>
      </c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L142" s="1">
        <v>10</v>
      </c>
      <c r="CM142" s="1" t="str">
        <v>Damien</v>
      </c>
      <c r="CN142" s="1">
        <v>5.4269999999999996</v>
      </c>
      <c r="CO142" s="1">
        <v>743</v>
      </c>
    </row>
    <row r="143" spans="1:93" x14ac:dyDescent="0.3">
      <c r="A143" s="15" t="s">
        <v>7</v>
      </c>
      <c r="B143" s="15">
        <v>37</v>
      </c>
      <c r="C143" s="15">
        <v>128</v>
      </c>
      <c r="D143" s="15">
        <v>20</v>
      </c>
      <c r="E143" s="15"/>
      <c r="F143" s="15"/>
      <c r="G143" s="15">
        <v>152</v>
      </c>
      <c r="H143" s="15">
        <v>20</v>
      </c>
      <c r="I143" s="15"/>
      <c r="J143" s="15"/>
      <c r="K143" s="15"/>
      <c r="L143" s="15"/>
      <c r="M143" s="15">
        <v>94</v>
      </c>
      <c r="N143" s="15">
        <v>20</v>
      </c>
      <c r="O143" s="15"/>
      <c r="P143" s="15"/>
      <c r="Q143" s="15">
        <v>121</v>
      </c>
      <c r="R143" s="15">
        <v>20</v>
      </c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L143" s="1">
        <v>11</v>
      </c>
      <c r="CM143" s="1" t="str">
        <v>Achille</v>
      </c>
      <c r="CN143" s="1">
        <v>5.407</v>
      </c>
      <c r="CO143" s="1">
        <v>829</v>
      </c>
    </row>
    <row r="144" spans="1:93" x14ac:dyDescent="0.3">
      <c r="A144" s="15" t="s">
        <v>7</v>
      </c>
      <c r="B144" s="15">
        <v>36</v>
      </c>
      <c r="C144" s="15">
        <v>68</v>
      </c>
      <c r="D144" s="15">
        <v>12</v>
      </c>
      <c r="E144" s="15">
        <v>45</v>
      </c>
      <c r="F144" s="15">
        <v>12</v>
      </c>
      <c r="G144" s="15"/>
      <c r="H144" s="15"/>
      <c r="I144" s="15"/>
      <c r="J144" s="15"/>
      <c r="K144" s="15">
        <v>49</v>
      </c>
      <c r="L144" s="15">
        <v>12</v>
      </c>
      <c r="M144" s="15">
        <v>98</v>
      </c>
      <c r="N144" s="15">
        <v>12</v>
      </c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L144" s="1">
        <v>12</v>
      </c>
      <c r="CM144" s="1" t="str">
        <v>Joey</v>
      </c>
      <c r="CN144" s="1">
        <v>5.1920000000000002</v>
      </c>
      <c r="CO144" s="1">
        <v>99</v>
      </c>
    </row>
    <row r="145" spans="1:96" x14ac:dyDescent="0.3">
      <c r="A145" s="15" t="s">
        <v>7</v>
      </c>
      <c r="B145" s="15">
        <v>35</v>
      </c>
      <c r="C145" s="15">
        <v>43</v>
      </c>
      <c r="D145" s="15">
        <v>12</v>
      </c>
      <c r="E145" s="15">
        <v>75</v>
      </c>
      <c r="F145" s="15">
        <v>12</v>
      </c>
      <c r="G145" s="15">
        <v>74</v>
      </c>
      <c r="H145" s="15">
        <v>12</v>
      </c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CL145" s="1">
        <v>13</v>
      </c>
      <c r="CM145" s="1" t="str">
        <v>Lou</v>
      </c>
      <c r="CN145" s="1">
        <v>4.8689999999999998</v>
      </c>
      <c r="CO145" s="1">
        <v>130</v>
      </c>
    </row>
    <row r="146" spans="1:96" x14ac:dyDescent="0.3">
      <c r="A146" s="15" t="s">
        <v>7</v>
      </c>
      <c r="B146" s="15">
        <v>34</v>
      </c>
      <c r="C146" s="15"/>
      <c r="D146" s="15"/>
      <c r="E146" s="15">
        <v>24</v>
      </c>
      <c r="F146" s="15">
        <v>4</v>
      </c>
      <c r="G146" s="15">
        <v>27</v>
      </c>
      <c r="H146" s="15">
        <v>4</v>
      </c>
      <c r="I146" s="15"/>
      <c r="J146" s="15"/>
      <c r="K146" s="15"/>
      <c r="L146" s="15"/>
      <c r="M146" s="15">
        <v>-32</v>
      </c>
      <c r="N146" s="15">
        <v>4</v>
      </c>
      <c r="O146" s="15"/>
      <c r="P146" s="15"/>
      <c r="Q146" s="15">
        <v>68</v>
      </c>
      <c r="R146" s="15">
        <v>12</v>
      </c>
      <c r="S146" s="15">
        <v>56</v>
      </c>
      <c r="T146" s="15">
        <v>4</v>
      </c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CL146" s="1">
        <v>14</v>
      </c>
      <c r="CM146" s="1" t="str">
        <v>Paul</v>
      </c>
      <c r="CN146" s="1">
        <v>4.8129999999999997</v>
      </c>
      <c r="CO146" s="1">
        <v>32</v>
      </c>
    </row>
    <row r="147" spans="1:96" x14ac:dyDescent="0.3">
      <c r="A147" s="15" t="s">
        <v>7</v>
      </c>
      <c r="B147" s="15">
        <v>33</v>
      </c>
      <c r="C147" s="15">
        <v>11</v>
      </c>
      <c r="D147" s="15">
        <v>2</v>
      </c>
      <c r="E147" s="15"/>
      <c r="F147" s="15"/>
      <c r="G147" s="15">
        <v>11</v>
      </c>
      <c r="H147" s="15">
        <v>2</v>
      </c>
      <c r="I147" s="15">
        <v>13</v>
      </c>
      <c r="J147" s="15">
        <v>2</v>
      </c>
      <c r="K147" s="15"/>
      <c r="L147" s="15"/>
      <c r="M147" s="15"/>
      <c r="N147" s="15"/>
      <c r="O147" s="15"/>
      <c r="P147" s="15"/>
      <c r="Q147" s="15"/>
      <c r="R147" s="15"/>
      <c r="S147" s="15">
        <v>13</v>
      </c>
      <c r="T147" s="15">
        <v>2</v>
      </c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6"/>
      <c r="AQ147" s="15"/>
      <c r="AR147" s="15"/>
      <c r="AS147" s="15"/>
      <c r="AT147" s="15"/>
      <c r="AU147" s="15"/>
      <c r="AV147" s="15"/>
      <c r="AW147" s="15"/>
      <c r="AX147" s="15"/>
      <c r="AY147" s="15"/>
      <c r="CL147" s="1">
        <v>15</v>
      </c>
      <c r="CM147" s="1" t="str">
        <v>Marie</v>
      </c>
      <c r="CN147" s="1">
        <v>4.5810000000000004</v>
      </c>
      <c r="CO147" s="1">
        <v>307</v>
      </c>
    </row>
    <row r="148" spans="1:96" x14ac:dyDescent="0.3">
      <c r="A148" s="15" t="s">
        <v>7</v>
      </c>
      <c r="B148" s="15">
        <v>32</v>
      </c>
      <c r="C148" s="15">
        <v>14</v>
      </c>
      <c r="D148" s="15">
        <v>11</v>
      </c>
      <c r="E148" s="15"/>
      <c r="F148" s="15"/>
      <c r="G148" s="15">
        <v>105</v>
      </c>
      <c r="H148" s="15">
        <v>11</v>
      </c>
      <c r="I148" s="15">
        <v>81</v>
      </c>
      <c r="J148" s="15">
        <v>11</v>
      </c>
      <c r="K148" s="15">
        <v>61</v>
      </c>
      <c r="L148" s="15">
        <v>11</v>
      </c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CL148" s="1">
        <v>16</v>
      </c>
      <c r="CM148" s="1" t="str">
        <v>Stanislas</v>
      </c>
      <c r="CN148" s="1">
        <v>4.4809999999999999</v>
      </c>
      <c r="CO148" s="1">
        <v>27</v>
      </c>
    </row>
    <row r="149" spans="1:96" x14ac:dyDescent="0.3">
      <c r="A149" s="15" t="s">
        <v>7</v>
      </c>
      <c r="B149" s="15">
        <v>31</v>
      </c>
      <c r="C149" s="15">
        <v>40</v>
      </c>
      <c r="D149" s="15">
        <v>4</v>
      </c>
      <c r="E149" s="15"/>
      <c r="F149" s="15"/>
      <c r="G149" s="15">
        <v>1</v>
      </c>
      <c r="H149" s="15">
        <v>4</v>
      </c>
      <c r="I149" s="15"/>
      <c r="J149" s="15"/>
      <c r="K149" s="15">
        <v>30</v>
      </c>
      <c r="L149" s="15">
        <v>4</v>
      </c>
      <c r="M149" s="15"/>
      <c r="N149" s="15"/>
      <c r="O149" s="15"/>
      <c r="P149" s="15"/>
      <c r="Q149" s="15"/>
      <c r="R149" s="15"/>
      <c r="S149" s="15">
        <v>19</v>
      </c>
      <c r="T149" s="15">
        <v>4</v>
      </c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CL149" s="1">
        <v>17</v>
      </c>
      <c r="CM149" s="1" t="str">
        <v>Quentin</v>
      </c>
      <c r="CN149" s="1">
        <v>4.0970000000000004</v>
      </c>
      <c r="CO149" s="1">
        <v>93</v>
      </c>
    </row>
    <row r="150" spans="1:96" x14ac:dyDescent="0.3">
      <c r="A150" s="15" t="s">
        <v>7</v>
      </c>
      <c r="B150" s="15">
        <v>30</v>
      </c>
      <c r="C150" s="15">
        <f>56/2</f>
        <v>28</v>
      </c>
      <c r="D150" s="15">
        <f>6/2</f>
        <v>3</v>
      </c>
      <c r="E150" s="15"/>
      <c r="F150" s="15"/>
      <c r="G150" s="15">
        <v>-28</v>
      </c>
      <c r="H150" s="15">
        <v>6</v>
      </c>
      <c r="I150" s="15"/>
      <c r="J150" s="15"/>
      <c r="K150" s="15">
        <f>56/2</f>
        <v>28</v>
      </c>
      <c r="L150" s="15">
        <f>6/2</f>
        <v>3</v>
      </c>
      <c r="M150" s="15">
        <v>28</v>
      </c>
      <c r="N150" s="15">
        <v>6</v>
      </c>
      <c r="O150" s="15"/>
      <c r="P150" s="15"/>
      <c r="Q150" s="15"/>
      <c r="R150" s="15"/>
      <c r="S150" s="15">
        <v>53</v>
      </c>
      <c r="T150" s="15">
        <v>6</v>
      </c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CL150" s="1">
        <v>18</v>
      </c>
      <c r="CM150" s="1" t="str">
        <v>Luca</v>
      </c>
      <c r="CN150" s="1">
        <v>3.129</v>
      </c>
      <c r="CO150" s="1">
        <v>186</v>
      </c>
    </row>
    <row r="151" spans="1:96" x14ac:dyDescent="0.3">
      <c r="A151" s="15" t="s">
        <v>7</v>
      </c>
      <c r="B151" s="15">
        <v>29</v>
      </c>
      <c r="C151" s="15">
        <v>7</v>
      </c>
      <c r="D151" s="15">
        <v>6</v>
      </c>
      <c r="E151" s="15">
        <v>41</v>
      </c>
      <c r="F151" s="15">
        <v>6</v>
      </c>
      <c r="G151" s="15">
        <v>42</v>
      </c>
      <c r="H151" s="15">
        <v>6</v>
      </c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>
        <v>34</v>
      </c>
      <c r="T151" s="15">
        <v>6</v>
      </c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CL151" s="1">
        <v>19</v>
      </c>
      <c r="CM151" s="1" t="str">
        <v>Fantinne</v>
      </c>
      <c r="CN151" s="1">
        <v>2.9609999999999999</v>
      </c>
      <c r="CO151" s="1">
        <v>51</v>
      </c>
    </row>
    <row r="152" spans="1:96" x14ac:dyDescent="0.3">
      <c r="A152" s="15" t="s">
        <v>7</v>
      </c>
      <c r="B152" s="15">
        <v>28</v>
      </c>
      <c r="C152" s="15">
        <v>31</v>
      </c>
      <c r="D152" s="15">
        <v>4</v>
      </c>
      <c r="E152" s="15">
        <v>55</v>
      </c>
      <c r="F152" s="15">
        <v>4</v>
      </c>
      <c r="G152" s="15">
        <v>-8</v>
      </c>
      <c r="H152" s="15">
        <v>4</v>
      </c>
      <c r="I152" s="15">
        <v>33</v>
      </c>
      <c r="J152" s="15">
        <v>4</v>
      </c>
      <c r="K152" s="15"/>
      <c r="L152" s="15"/>
      <c r="M152" s="15">
        <v>11</v>
      </c>
      <c r="N152" s="15">
        <v>4</v>
      </c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L152" s="1">
        <v>20</v>
      </c>
      <c r="CM152" s="1" t="str">
        <v>Loulou</v>
      </c>
      <c r="CN152" s="1">
        <v>2.427</v>
      </c>
      <c r="CO152" s="1">
        <v>75</v>
      </c>
    </row>
    <row r="153" spans="1:96" x14ac:dyDescent="0.3">
      <c r="A153" s="15" t="s">
        <v>7</v>
      </c>
      <c r="B153" s="15">
        <v>27</v>
      </c>
      <c r="C153" s="15">
        <v>42</v>
      </c>
      <c r="D153" s="15">
        <v>9</v>
      </c>
      <c r="E153" s="15">
        <v>73</v>
      </c>
      <c r="F153" s="15">
        <v>9</v>
      </c>
      <c r="G153" s="15">
        <v>34</v>
      </c>
      <c r="H153" s="15">
        <v>9</v>
      </c>
      <c r="I153" s="15">
        <v>62</v>
      </c>
      <c r="J153" s="15">
        <v>9</v>
      </c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</row>
    <row r="154" spans="1:96" x14ac:dyDescent="0.3">
      <c r="A154" s="15" t="s">
        <v>7</v>
      </c>
      <c r="B154" s="15">
        <v>26</v>
      </c>
      <c r="C154" s="15">
        <v>0</v>
      </c>
      <c r="D154" s="15">
        <v>1</v>
      </c>
      <c r="E154" s="15">
        <v>8</v>
      </c>
      <c r="F154" s="15">
        <v>1</v>
      </c>
      <c r="G154" s="15"/>
      <c r="H154" s="15"/>
      <c r="I154" s="15"/>
      <c r="J154" s="15"/>
      <c r="K154" s="15"/>
      <c r="L154" s="15"/>
      <c r="M154" s="15">
        <v>21</v>
      </c>
      <c r="N154" s="15">
        <v>2</v>
      </c>
      <c r="O154" s="15"/>
      <c r="P154" s="15"/>
      <c r="Q154" s="15"/>
      <c r="R154" s="15"/>
      <c r="S154" s="15">
        <v>13</v>
      </c>
      <c r="T154" s="15">
        <v>2</v>
      </c>
      <c r="U154" s="15"/>
      <c r="V154" s="15"/>
      <c r="W154" s="15"/>
      <c r="X154" s="15"/>
      <c r="Y154" s="15"/>
      <c r="Z154" s="15"/>
      <c r="AA154" s="15"/>
      <c r="AB154" s="15"/>
      <c r="AC154" s="15">
        <v>0</v>
      </c>
      <c r="AD154" s="15">
        <v>2</v>
      </c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</row>
    <row r="155" spans="1:96" x14ac:dyDescent="0.3">
      <c r="A155" s="15" t="s">
        <v>7</v>
      </c>
      <c r="B155" s="15">
        <v>25</v>
      </c>
      <c r="C155" s="15"/>
      <c r="D155" s="15"/>
      <c r="E155" s="15">
        <v>-14</v>
      </c>
      <c r="F155" s="15">
        <v>2</v>
      </c>
      <c r="G155" s="15">
        <v>27</v>
      </c>
      <c r="H155" s="15">
        <v>2</v>
      </c>
      <c r="I155" s="15">
        <v>-14</v>
      </c>
      <c r="J155" s="15">
        <v>2</v>
      </c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>
        <v>27</v>
      </c>
      <c r="AF155" s="15">
        <v>2</v>
      </c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</row>
    <row r="156" spans="1:96" x14ac:dyDescent="0.3">
      <c r="A156" s="15" t="s">
        <v>7</v>
      </c>
      <c r="B156" s="15">
        <v>24</v>
      </c>
      <c r="C156" s="15">
        <v>14</v>
      </c>
      <c r="D156" s="15">
        <v>2</v>
      </c>
      <c r="E156" s="15"/>
      <c r="F156" s="15"/>
      <c r="G156" s="15">
        <v>34</v>
      </c>
      <c r="H156" s="15">
        <v>2</v>
      </c>
      <c r="I156" s="15"/>
      <c r="J156" s="15"/>
      <c r="K156" s="15">
        <v>20</v>
      </c>
      <c r="L156" s="15">
        <v>2</v>
      </c>
      <c r="M156" s="15">
        <v>0</v>
      </c>
      <c r="N156" s="15">
        <v>2</v>
      </c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</row>
    <row r="157" spans="1:96" x14ac:dyDescent="0.3">
      <c r="A157" s="15" t="s">
        <v>7</v>
      </c>
      <c r="B157" s="15">
        <v>23</v>
      </c>
      <c r="C157" s="15">
        <v>13</v>
      </c>
      <c r="D157" s="15">
        <v>9</v>
      </c>
      <c r="E157" s="15"/>
      <c r="F157" s="15"/>
      <c r="G157" s="15">
        <v>99</v>
      </c>
      <c r="H157" s="15">
        <v>9</v>
      </c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>
        <v>28</v>
      </c>
      <c r="T157" s="15">
        <v>9</v>
      </c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>
        <v>42</v>
      </c>
      <c r="AL157" s="15">
        <v>9</v>
      </c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</row>
    <row r="158" spans="1:96" x14ac:dyDescent="0.3">
      <c r="A158" s="15" t="s">
        <v>7</v>
      </c>
      <c r="B158" s="15">
        <v>22</v>
      </c>
      <c r="C158" s="15">
        <v>19</v>
      </c>
      <c r="D158" s="15">
        <v>8</v>
      </c>
      <c r="E158" s="15">
        <v>82</v>
      </c>
      <c r="F158" s="15">
        <v>8</v>
      </c>
      <c r="G158" s="15">
        <v>24</v>
      </c>
      <c r="H158" s="15">
        <v>8</v>
      </c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>
        <v>79</v>
      </c>
      <c r="AL158" s="15">
        <v>8</v>
      </c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</row>
    <row r="159" spans="1:96" x14ac:dyDescent="0.3">
      <c r="A159" s="15" t="s">
        <v>7</v>
      </c>
      <c r="B159" s="15">
        <v>21</v>
      </c>
      <c r="C159" s="15">
        <v>93</v>
      </c>
      <c r="D159" s="15">
        <v>20</v>
      </c>
      <c r="E159" s="15">
        <v>156</v>
      </c>
      <c r="F159" s="15">
        <v>20</v>
      </c>
      <c r="G159" s="15">
        <v>153</v>
      </c>
      <c r="H159" s="15">
        <v>20</v>
      </c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>
        <v>59</v>
      </c>
      <c r="X159" s="15">
        <v>20</v>
      </c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CL159" s="1" t="str" cm="1">
        <f t="array" ref="CL159:CN176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M159" s="1">
        <v>7.2531645569620249</v>
      </c>
      <c r="CN159" s="1">
        <v>79</v>
      </c>
      <c r="CQ159" s="1" t="str" cm="1">
        <f t="array" ref="CQ159:CR178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R159" s="1">
        <v>7.2531645569620249</v>
      </c>
    </row>
    <row r="160" spans="1:96" x14ac:dyDescent="0.3">
      <c r="A160" s="15" t="s">
        <v>7</v>
      </c>
      <c r="B160" s="15">
        <v>20</v>
      </c>
      <c r="C160" s="15"/>
      <c r="D160" s="15"/>
      <c r="E160" s="15">
        <v>35</v>
      </c>
      <c r="F160" s="15">
        <v>8</v>
      </c>
      <c r="G160" s="15">
        <v>45</v>
      </c>
      <c r="H160" s="15">
        <v>8</v>
      </c>
      <c r="I160" s="15"/>
      <c r="J160" s="15"/>
      <c r="K160" s="15"/>
      <c r="L160" s="15"/>
      <c r="M160" s="15">
        <v>27</v>
      </c>
      <c r="N160" s="15">
        <v>8</v>
      </c>
      <c r="O160" s="15"/>
      <c r="P160" s="15"/>
      <c r="Q160" s="15"/>
      <c r="R160" s="15"/>
      <c r="S160" s="15">
        <v>78</v>
      </c>
      <c r="T160" s="15">
        <v>8</v>
      </c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CL160" s="1" t="str">
        <v>Boris</v>
      </c>
      <c r="CM160" s="1">
        <v>7.1547413793103445</v>
      </c>
      <c r="CN160" s="1">
        <v>1160</v>
      </c>
      <c r="CQ160" s="1" t="str">
        <v>Boris</v>
      </c>
      <c r="CR160" s="1">
        <v>7.1547413793103445</v>
      </c>
    </row>
    <row r="161" spans="1:96" x14ac:dyDescent="0.3">
      <c r="A161" s="15" t="s">
        <v>7</v>
      </c>
      <c r="B161" s="15">
        <v>19</v>
      </c>
      <c r="C161" s="15">
        <v>2</v>
      </c>
      <c r="D161" s="15">
        <v>7</v>
      </c>
      <c r="E161" s="15">
        <v>57</v>
      </c>
      <c r="F161" s="15">
        <v>7</v>
      </c>
      <c r="G161" s="15">
        <v>73</v>
      </c>
      <c r="H161" s="15">
        <v>7</v>
      </c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>
        <v>29</v>
      </c>
      <c r="T161" s="15">
        <v>7</v>
      </c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CL161" s="1" t="str">
        <v>Célian</v>
      </c>
      <c r="CM161" s="1">
        <v>6.2655367231638417</v>
      </c>
      <c r="CN161" s="1">
        <v>354</v>
      </c>
      <c r="CQ161" s="1" t="str">
        <v>Célian</v>
      </c>
      <c r="CR161" s="1">
        <v>6.2655367231638417</v>
      </c>
    </row>
    <row r="162" spans="1:96" x14ac:dyDescent="0.3">
      <c r="A162" s="15" t="s">
        <v>7</v>
      </c>
      <c r="B162" s="15">
        <v>18</v>
      </c>
      <c r="C162" s="15">
        <v>50</v>
      </c>
      <c r="D162" s="15">
        <v>10</v>
      </c>
      <c r="E162" s="15"/>
      <c r="F162" s="15"/>
      <c r="G162" s="15">
        <v>103</v>
      </c>
      <c r="H162" s="15">
        <v>10</v>
      </c>
      <c r="I162" s="15"/>
      <c r="J162" s="15"/>
      <c r="K162" s="15"/>
      <c r="L162" s="15"/>
      <c r="M162" s="15"/>
      <c r="N162" s="15"/>
      <c r="O162" s="15"/>
      <c r="P162" s="15"/>
      <c r="Q162" s="15">
        <v>44</v>
      </c>
      <c r="R162" s="15">
        <v>10</v>
      </c>
      <c r="S162" s="15"/>
      <c r="T162" s="15"/>
      <c r="U162" s="15">
        <v>2</v>
      </c>
      <c r="V162" s="15">
        <v>10</v>
      </c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CL162" s="1" t="str">
        <v>William</v>
      </c>
      <c r="CM162" s="1">
        <v>6.068965517241379</v>
      </c>
      <c r="CN162" s="1">
        <v>29</v>
      </c>
      <c r="CQ162" s="1" t="str">
        <v>William</v>
      </c>
      <c r="CR162" s="1">
        <v>6.068965517241379</v>
      </c>
    </row>
    <row r="163" spans="1:96" x14ac:dyDescent="0.3">
      <c r="A163" s="15" t="s">
        <v>7</v>
      </c>
      <c r="B163" s="15">
        <v>17</v>
      </c>
      <c r="C163" s="15">
        <v>28</v>
      </c>
      <c r="D163" s="15">
        <v>8</v>
      </c>
      <c r="E163" s="15">
        <v>8</v>
      </c>
      <c r="F163" s="15">
        <v>8</v>
      </c>
      <c r="G163" s="15">
        <v>94</v>
      </c>
      <c r="H163" s="15">
        <v>8</v>
      </c>
      <c r="I163" s="15"/>
      <c r="J163" s="15"/>
      <c r="K163" s="15"/>
      <c r="L163" s="15"/>
      <c r="M163" s="15">
        <v>39</v>
      </c>
      <c r="N163" s="15">
        <v>8</v>
      </c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CL163" s="1" t="str">
        <v>Tom</v>
      </c>
      <c r="CM163" s="1">
        <v>6.059800664451827</v>
      </c>
      <c r="CN163" s="1">
        <v>301</v>
      </c>
      <c r="CQ163" s="1" t="str">
        <v>Tom</v>
      </c>
      <c r="CR163" s="1">
        <v>6.059800664451827</v>
      </c>
    </row>
    <row r="164" spans="1:96" x14ac:dyDescent="0.3">
      <c r="A164" s="15" t="s">
        <v>7</v>
      </c>
      <c r="B164" s="15">
        <v>16</v>
      </c>
      <c r="C164" s="15">
        <v>59</v>
      </c>
      <c r="D164" s="15">
        <v>11</v>
      </c>
      <c r="E164" s="15">
        <v>99</v>
      </c>
      <c r="F164" s="15">
        <v>11</v>
      </c>
      <c r="G164" s="15">
        <v>46</v>
      </c>
      <c r="H164" s="15">
        <v>11</v>
      </c>
      <c r="I164" s="15">
        <v>42</v>
      </c>
      <c r="J164" s="15">
        <v>11</v>
      </c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CL164" s="1" t="str">
        <v>Samuel</v>
      </c>
      <c r="CM164" s="1">
        <v>5.9099526066350707</v>
      </c>
      <c r="CN164" s="1">
        <v>211</v>
      </c>
      <c r="CQ164" s="1" t="str">
        <v>Samuel</v>
      </c>
      <c r="CR164" s="1">
        <v>5.9099526066350707</v>
      </c>
    </row>
    <row r="165" spans="1:96" x14ac:dyDescent="0.3">
      <c r="A165" s="15" t="s">
        <v>7</v>
      </c>
      <c r="B165" s="15">
        <v>15</v>
      </c>
      <c r="C165" s="15">
        <v>21</v>
      </c>
      <c r="D165" s="15">
        <v>12</v>
      </c>
      <c r="E165" s="15">
        <v>61</v>
      </c>
      <c r="F165" s="15">
        <v>12</v>
      </c>
      <c r="G165" s="15">
        <v>91</v>
      </c>
      <c r="H165" s="15">
        <v>12</v>
      </c>
      <c r="I165" s="15"/>
      <c r="J165" s="15"/>
      <c r="K165" s="15"/>
      <c r="L165" s="15"/>
      <c r="M165" s="15"/>
      <c r="N165" s="15"/>
      <c r="O165" s="15">
        <v>70</v>
      </c>
      <c r="P165" s="15">
        <v>12</v>
      </c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CL165" s="1" t="str">
        <v>Joachim</v>
      </c>
      <c r="CM165" s="1">
        <v>5.8899082568807337</v>
      </c>
      <c r="CN165" s="1">
        <v>109</v>
      </c>
      <c r="CQ165" s="1" t="str">
        <v>Joachim</v>
      </c>
      <c r="CR165" s="1">
        <v>5.8899082568807337</v>
      </c>
    </row>
    <row r="166" spans="1:96" x14ac:dyDescent="0.3">
      <c r="A166" s="15" t="s">
        <v>7</v>
      </c>
      <c r="B166" s="15">
        <v>14</v>
      </c>
      <c r="C166" s="15">
        <v>29</v>
      </c>
      <c r="D166" s="15">
        <v>12</v>
      </c>
      <c r="E166" s="15">
        <v>55</v>
      </c>
      <c r="F166" s="15">
        <v>12</v>
      </c>
      <c r="G166" s="15">
        <v>107</v>
      </c>
      <c r="H166" s="15">
        <v>12</v>
      </c>
      <c r="I166" s="15">
        <v>81</v>
      </c>
      <c r="J166" s="15">
        <v>12</v>
      </c>
      <c r="K166" s="15">
        <v>84</v>
      </c>
      <c r="L166" s="15">
        <v>12</v>
      </c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CL166" s="1" t="str">
        <v>Mehdi</v>
      </c>
      <c r="CM166" s="1">
        <v>5.7018779342723001</v>
      </c>
      <c r="CN166" s="1">
        <v>426</v>
      </c>
      <c r="CQ166" s="1" t="str">
        <v>Mehdi</v>
      </c>
      <c r="CR166" s="1">
        <v>5.7018779342723001</v>
      </c>
    </row>
    <row r="167" spans="1:96" x14ac:dyDescent="0.3">
      <c r="A167" s="15" t="s">
        <v>7</v>
      </c>
      <c r="B167" s="15">
        <v>13</v>
      </c>
      <c r="C167" s="15">
        <v>162</v>
      </c>
      <c r="D167" s="15">
        <v>20</v>
      </c>
      <c r="E167" s="15">
        <v>125</v>
      </c>
      <c r="F167" s="15">
        <v>20</v>
      </c>
      <c r="G167" s="15">
        <v>87</v>
      </c>
      <c r="H167" s="15">
        <v>20</v>
      </c>
      <c r="I167" s="15">
        <v>150</v>
      </c>
      <c r="J167" s="15">
        <v>20</v>
      </c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CL167" s="1" t="str">
        <v>Jules</v>
      </c>
      <c r="CM167" s="1">
        <v>5.6583333333333332</v>
      </c>
      <c r="CN167" s="1">
        <v>240</v>
      </c>
      <c r="CQ167" s="1" t="str">
        <v>Jules</v>
      </c>
      <c r="CR167" s="1">
        <v>5.6583333333333332</v>
      </c>
    </row>
    <row r="168" spans="1:96" x14ac:dyDescent="0.3">
      <c r="A168" s="1" t="s">
        <v>25</v>
      </c>
      <c r="B168" s="1" t="s">
        <v>26</v>
      </c>
      <c r="CL168" s="1" t="str">
        <v>Damien</v>
      </c>
      <c r="CM168" s="1">
        <v>5.4266487213997312</v>
      </c>
      <c r="CN168" s="1">
        <v>743</v>
      </c>
      <c r="CQ168" s="1" t="str">
        <v>Damien</v>
      </c>
      <c r="CR168" s="1">
        <v>5.4266487213997312</v>
      </c>
    </row>
    <row r="169" spans="1:96" x14ac:dyDescent="0.3">
      <c r="A169" s="1" t="s">
        <v>7</v>
      </c>
      <c r="B169" s="1">
        <v>12</v>
      </c>
      <c r="C169" s="1">
        <v>91</v>
      </c>
      <c r="D169" s="1">
        <v>11</v>
      </c>
      <c r="G169" s="1">
        <v>40</v>
      </c>
      <c r="H169" s="1">
        <v>11</v>
      </c>
      <c r="U169" s="1">
        <v>64</v>
      </c>
      <c r="V169" s="1">
        <v>11</v>
      </c>
      <c r="Y169" s="1">
        <v>64</v>
      </c>
      <c r="Z169" s="1">
        <v>11</v>
      </c>
      <c r="CL169" s="1" t="str">
        <v>Achille</v>
      </c>
      <c r="CM169" s="1">
        <v>5.4065138721351023</v>
      </c>
      <c r="CN169" s="1">
        <v>829</v>
      </c>
      <c r="CQ169" s="1" t="str">
        <v>Achille</v>
      </c>
      <c r="CR169" s="1">
        <v>5.4065138721351023</v>
      </c>
    </row>
    <row r="170" spans="1:96" x14ac:dyDescent="0.3">
      <c r="A170" s="1" t="s">
        <v>7</v>
      </c>
      <c r="B170" s="1">
        <v>11</v>
      </c>
      <c r="C170" s="1">
        <v>64</v>
      </c>
      <c r="D170" s="1">
        <v>20</v>
      </c>
      <c r="E170" s="1">
        <v>87</v>
      </c>
      <c r="F170" s="1">
        <v>20</v>
      </c>
      <c r="G170" s="1">
        <v>185</v>
      </c>
      <c r="H170" s="1">
        <v>20</v>
      </c>
      <c r="M170" s="1">
        <v>134</v>
      </c>
      <c r="N170" s="1">
        <v>20</v>
      </c>
      <c r="CL170" s="1" t="str">
        <v>Joey</v>
      </c>
      <c r="CM170" s="1">
        <v>5.191919191919192</v>
      </c>
      <c r="CN170" s="1">
        <v>99</v>
      </c>
      <c r="CQ170" s="1" t="str">
        <v>Joey</v>
      </c>
      <c r="CR170" s="1">
        <v>5.191919191919192</v>
      </c>
    </row>
    <row r="171" spans="1:96" x14ac:dyDescent="0.3">
      <c r="A171" s="1" t="s">
        <v>7</v>
      </c>
      <c r="B171" s="1">
        <v>10</v>
      </c>
      <c r="C171" s="1">
        <v>-2</v>
      </c>
      <c r="D171" s="1">
        <v>8</v>
      </c>
      <c r="G171" s="1">
        <v>65</v>
      </c>
      <c r="H171" s="1">
        <v>8</v>
      </c>
      <c r="K171" s="1">
        <v>44</v>
      </c>
      <c r="L171" s="1">
        <v>8</v>
      </c>
      <c r="M171" s="1">
        <v>80</v>
      </c>
      <c r="N171" s="1">
        <v>8</v>
      </c>
      <c r="CL171" s="1" t="str">
        <v>Paul</v>
      </c>
      <c r="CM171" s="1">
        <v>4.8125</v>
      </c>
      <c r="CN171" s="1">
        <v>32</v>
      </c>
      <c r="CQ171" s="1" t="str">
        <v>Lou</v>
      </c>
      <c r="CR171" s="1">
        <v>4.8692307692307688</v>
      </c>
    </row>
    <row r="172" spans="1:96" x14ac:dyDescent="0.3">
      <c r="A172" s="1" t="s">
        <v>7</v>
      </c>
      <c r="B172" s="1">
        <v>9</v>
      </c>
      <c r="C172" s="1">
        <v>45</v>
      </c>
      <c r="D172" s="1">
        <v>9</v>
      </c>
      <c r="G172" s="1">
        <v>47</v>
      </c>
      <c r="H172" s="1">
        <v>9</v>
      </c>
      <c r="Y172" s="1">
        <v>44</v>
      </c>
      <c r="Z172" s="1">
        <v>9</v>
      </c>
      <c r="AA172" s="1">
        <v>42</v>
      </c>
      <c r="AB172" s="1">
        <v>9</v>
      </c>
      <c r="CL172" s="1" t="str">
        <v>Marie</v>
      </c>
      <c r="CM172" s="1">
        <v>4.5814332247556999</v>
      </c>
      <c r="CN172" s="1">
        <v>307</v>
      </c>
      <c r="CQ172" s="1" t="str">
        <v>Paul</v>
      </c>
      <c r="CR172" s="1">
        <v>4.8125</v>
      </c>
    </row>
    <row r="173" spans="1:96" x14ac:dyDescent="0.3">
      <c r="A173" s="1" t="s">
        <v>7</v>
      </c>
      <c r="B173" s="1">
        <v>8</v>
      </c>
      <c r="C173" s="1">
        <v>61</v>
      </c>
      <c r="D173" s="1">
        <v>12</v>
      </c>
      <c r="G173" s="1">
        <v>96</v>
      </c>
      <c r="H173" s="1">
        <v>12</v>
      </c>
      <c r="Y173" s="1">
        <v>46</v>
      </c>
      <c r="Z173" s="1">
        <v>12</v>
      </c>
      <c r="AA173" s="1">
        <v>47</v>
      </c>
      <c r="AB173" s="1">
        <v>12</v>
      </c>
      <c r="CL173" s="1" t="str">
        <v>Quentin</v>
      </c>
      <c r="CM173" s="1">
        <v>4.096774193548387</v>
      </c>
      <c r="CN173" s="1">
        <v>93</v>
      </c>
      <c r="CQ173" s="1" t="str">
        <v>Marie</v>
      </c>
      <c r="CR173" s="1">
        <v>4.5814332247556999</v>
      </c>
    </row>
    <row r="174" spans="1:96" x14ac:dyDescent="0.3">
      <c r="A174" s="1" t="s">
        <v>7</v>
      </c>
      <c r="B174" s="1">
        <v>7</v>
      </c>
      <c r="C174" s="1">
        <v>36</v>
      </c>
      <c r="D174" s="1">
        <v>2</v>
      </c>
      <c r="E174" s="1">
        <v>0</v>
      </c>
      <c r="F174" s="1">
        <v>2</v>
      </c>
      <c r="G174" s="1">
        <v>0</v>
      </c>
      <c r="H174" s="1">
        <v>2</v>
      </c>
      <c r="O174" s="1">
        <v>12</v>
      </c>
      <c r="P174" s="1">
        <v>2</v>
      </c>
      <c r="CL174" s="1" t="str">
        <v>Luca</v>
      </c>
      <c r="CM174" s="1">
        <v>3.129032258064516</v>
      </c>
      <c r="CN174" s="1">
        <v>186</v>
      </c>
      <c r="CQ174" s="1" t="str">
        <v>Stanislas</v>
      </c>
      <c r="CR174" s="1">
        <v>4.4814814814814818</v>
      </c>
    </row>
    <row r="175" spans="1:96" x14ac:dyDescent="0.3">
      <c r="A175" s="1" t="s">
        <v>7</v>
      </c>
      <c r="B175" s="1">
        <v>6</v>
      </c>
      <c r="C175" s="1">
        <v>99</v>
      </c>
      <c r="D175" s="1">
        <v>13</v>
      </c>
      <c r="E175" s="1">
        <v>23</v>
      </c>
      <c r="F175" s="1">
        <v>13</v>
      </c>
      <c r="G175" s="1">
        <v>90</v>
      </c>
      <c r="H175" s="1">
        <v>13</v>
      </c>
      <c r="I175" s="1">
        <v>131</v>
      </c>
      <c r="J175" s="1">
        <v>13</v>
      </c>
      <c r="CL175" s="1" t="str">
        <v>Fantinne</v>
      </c>
      <c r="CM175" s="1">
        <v>2.9607843137254903</v>
      </c>
      <c r="CN175" s="1">
        <v>51</v>
      </c>
      <c r="CQ175" s="1" t="str">
        <v>Quentin</v>
      </c>
      <c r="CR175" s="1">
        <v>4.096774193548387</v>
      </c>
    </row>
    <row r="176" spans="1:96" x14ac:dyDescent="0.3">
      <c r="A176" s="1" t="s">
        <v>7</v>
      </c>
      <c r="B176" s="1">
        <v>5</v>
      </c>
      <c r="C176" s="1">
        <v>56</v>
      </c>
      <c r="D176" s="1">
        <v>9</v>
      </c>
      <c r="E176" s="1">
        <v>35</v>
      </c>
      <c r="F176" s="1">
        <v>9</v>
      </c>
      <c r="G176" s="1">
        <v>106</v>
      </c>
      <c r="H176" s="1">
        <v>9</v>
      </c>
      <c r="W176" s="1">
        <v>55</v>
      </c>
      <c r="X176" s="1">
        <v>9</v>
      </c>
      <c r="CL176" s="1" t="str">
        <v>Loulou</v>
      </c>
      <c r="CM176" s="1">
        <v>2.4266666666666667</v>
      </c>
      <c r="CN176" s="1">
        <v>75</v>
      </c>
      <c r="CQ176" s="1" t="str">
        <v>Luca</v>
      </c>
      <c r="CR176" s="1">
        <v>3.129032258064516</v>
      </c>
    </row>
    <row r="177" spans="1:96" x14ac:dyDescent="0.3">
      <c r="A177" s="1" t="s">
        <v>7</v>
      </c>
      <c r="B177" s="1">
        <v>4</v>
      </c>
      <c r="C177" s="1">
        <v>83</v>
      </c>
      <c r="D177" s="1">
        <v>11</v>
      </c>
      <c r="E177" s="1">
        <v>8</v>
      </c>
      <c r="F177" s="1">
        <v>11</v>
      </c>
      <c r="G177" s="1">
        <v>110</v>
      </c>
      <c r="H177" s="1">
        <v>11</v>
      </c>
      <c r="I177" s="1">
        <v>57</v>
      </c>
      <c r="J177" s="1">
        <v>11</v>
      </c>
      <c r="CQ177" s="1" t="str">
        <v>Fantinne</v>
      </c>
      <c r="CR177" s="1">
        <v>2.9607843137254903</v>
      </c>
    </row>
    <row r="178" spans="1:96" x14ac:dyDescent="0.3">
      <c r="A178" s="1" t="s">
        <v>7</v>
      </c>
      <c r="B178" s="1">
        <v>3</v>
      </c>
      <c r="C178" s="1">
        <v>71</v>
      </c>
      <c r="D178" s="1">
        <v>13</v>
      </c>
      <c r="G178" s="1">
        <v>88</v>
      </c>
      <c r="H178" s="1">
        <v>13</v>
      </c>
      <c r="I178" s="1">
        <v>116</v>
      </c>
      <c r="J178" s="1">
        <v>13</v>
      </c>
      <c r="M178" s="1">
        <v>29</v>
      </c>
      <c r="N178" s="1">
        <v>13</v>
      </c>
      <c r="CQ178" s="1" t="str">
        <v>Loulou</v>
      </c>
      <c r="CR178" s="1">
        <v>2.4266666666666667</v>
      </c>
    </row>
    <row r="179" spans="1:96" x14ac:dyDescent="0.3">
      <c r="A179" s="1" t="s">
        <v>7</v>
      </c>
      <c r="B179" s="1">
        <v>2</v>
      </c>
      <c r="C179" s="1">
        <v>21</v>
      </c>
      <c r="D179" s="1">
        <v>15</v>
      </c>
      <c r="E179" s="1">
        <v>33</v>
      </c>
      <c r="F179" s="1">
        <v>15</v>
      </c>
      <c r="G179" s="1">
        <v>90</v>
      </c>
      <c r="H179" s="1">
        <v>15</v>
      </c>
      <c r="I179" s="1">
        <v>99</v>
      </c>
      <c r="J179" s="1">
        <v>15</v>
      </c>
    </row>
    <row r="180" spans="1:96" x14ac:dyDescent="0.3">
      <c r="A180" s="1" t="s">
        <v>7</v>
      </c>
      <c r="B180" s="1">
        <v>1</v>
      </c>
      <c r="C180" s="1">
        <v>-5</v>
      </c>
      <c r="D180" s="1">
        <v>12</v>
      </c>
      <c r="E180" s="1">
        <v>88</v>
      </c>
      <c r="F180" s="1">
        <v>12</v>
      </c>
      <c r="G180" s="1">
        <v>64</v>
      </c>
      <c r="H180" s="1">
        <v>12</v>
      </c>
      <c r="I180" s="1">
        <v>95</v>
      </c>
      <c r="J180" s="1">
        <v>12</v>
      </c>
    </row>
  </sheetData>
  <sortState xmlns:xlrd2="http://schemas.microsoft.com/office/spreadsheetml/2017/richdata2" ref="A169:AM180">
    <sortCondition descending="1" ref="B169:B180"/>
  </sortState>
  <mergeCells count="36">
    <mergeCell ref="BM9:BN9"/>
    <mergeCell ref="BO9:BP9"/>
    <mergeCell ref="BQ9:BR9"/>
    <mergeCell ref="BS9:BT9"/>
    <mergeCell ref="BU9:BV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BG9:BH9"/>
    <mergeCell ref="BI9:BJ9"/>
    <mergeCell ref="BK9:BL9"/>
    <mergeCell ref="BA9:BB9"/>
    <mergeCell ref="BC9:BD9"/>
    <mergeCell ref="BE9:BF9"/>
  </mergeCells>
  <conditionalFormatting sqref="C1 E1 G1 I1 K1 M1 O1 Q1 S1 U1 W1 Y1 AA1 AC1 AE1 AG1 AI1 AK1 AM1 AO1 AQ1 AS1 AU1 AW1 AY1 BA1 BC1 BE1 BG1 BI1 BK1 BM1 BO1 BQ1 BS1 BU1 C9:AM9 AO9 AQ9 AS9 AU9 AW9 AY9 BA9 BC9 BE9 BG9 BI9 BK9 BM9 BO9 BQ9 BS9 BU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87 I10:I87 K10:K87 M10:M87 C10:C180 E10:E180 O10:O180 Q10:Q180 S10:S180 U10:U180 W10:W180 Y10:Y180 AA10:AA180 AC10:AC180 AE10:AE180 AG10:AG180 AI10:AI180 AK10:AK180 AM10:AM180 AO10:AO180 AQ10:AQ180 AS10:AS180 AU10:AU180 AW10:AW180 AY10:AY180 BA10:BA180 BC10:BC180 BE10:BE180 G89:G180 I89:I180 K89:K180 M89:M180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87 J10:J87 L10:L87 N10:N87 D10:D180 F10:F180 P10:P180 R10:R180 T10:T180 V10:V180 X10:X180 Z10:Z180 AB10:AB180 AD10:AD180 AF10:AF180 AH10:AH180 AJ10:AJ180 AL10:AL180 AN10:AN180 AP10:AP180 AR10:AR180 AT10:AT180 AV10:AV180 AX10:AX180 AZ10:AZ180 BB10:BB180 BD10:BD180 BF10:BF180 H89:H180 J89:J180 L89:L180 N89:N180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CE101:CE129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CJ101:CJ122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4"/>
  <sheetViews>
    <sheetView tabSelected="1" topLeftCell="A4" zoomScale="122" workbookViewId="0">
      <selection activeCell="D9" sqref="D9"/>
    </sheetView>
  </sheetViews>
  <sheetFormatPr baseColWidth="10" defaultRowHeight="14.4" x14ac:dyDescent="0.3"/>
  <cols>
    <col min="1" max="1" width="11.5546875" style="1"/>
    <col min="2" max="2" width="13.6640625" style="1" customWidth="1"/>
    <col min="3" max="3" width="13" style="1" customWidth="1"/>
    <col min="4" max="4" width="15.5546875" style="1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stat'!CF88:CF97</f>
        <v>légende</v>
      </c>
    </row>
    <row r="2" spans="1:9" x14ac:dyDescent="0.3">
      <c r="A2" s="1" cm="1">
        <f t="array" ref="A2:D24">_xlfn.ANCHORARRAY('All stat'!CB101)</f>
        <v>1</v>
      </c>
      <c r="B2" s="1" t="str">
        <v>Gauthier</v>
      </c>
      <c r="C2" s="1" t="str">
        <v>7.253</v>
      </c>
      <c r="D2" s="1">
        <v>79</v>
      </c>
      <c r="F2" t="str">
        <v>nombre de parties</v>
      </c>
    </row>
    <row r="3" spans="1:9" x14ac:dyDescent="0.3">
      <c r="A3" s="1">
        <v>2</v>
      </c>
      <c r="B3" s="1" t="str">
        <v>Boris</v>
      </c>
      <c r="C3" s="1" t="str">
        <v>7.155</v>
      </c>
      <c r="D3" s="1">
        <v>1160</v>
      </c>
      <c r="F3" t="str">
        <v>entre 1 et 10</v>
      </c>
      <c r="G3" s="23"/>
      <c r="H3" t="str" cm="1">
        <f t="array" ref="H3:I10">'All stat'!CH90:CI97</f>
        <v>anecdotique</v>
      </c>
      <c r="I3" t="str">
        <v>négligeable</v>
      </c>
    </row>
    <row r="4" spans="1:9" x14ac:dyDescent="0.3">
      <c r="A4" s="1">
        <v>3</v>
      </c>
      <c r="B4" s="1" t="str">
        <v>Vincent</v>
      </c>
      <c r="C4" s="1" t="str">
        <v>6.750</v>
      </c>
      <c r="D4" s="1">
        <v>20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1">
        <v>4</v>
      </c>
      <c r="B5" s="1" t="str">
        <v>Célian</v>
      </c>
      <c r="C5" s="1" t="str">
        <v>6.266</v>
      </c>
      <c r="D5" s="1">
        <v>354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1">
        <v>5</v>
      </c>
      <c r="B6" s="1" t="str">
        <v>William</v>
      </c>
      <c r="C6" s="1" t="str">
        <v>6.069</v>
      </c>
      <c r="D6" s="1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1">
        <v>6</v>
      </c>
      <c r="B7" s="1" t="str">
        <v>Tom</v>
      </c>
      <c r="C7" s="1" t="str">
        <v>6.060</v>
      </c>
      <c r="D7" s="1">
        <v>301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1">
        <v>7</v>
      </c>
      <c r="B8" s="1" t="str">
        <v>Samuel</v>
      </c>
      <c r="C8" s="1" t="str">
        <v>5.910</v>
      </c>
      <c r="D8" s="1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1">
        <v>8</v>
      </c>
      <c r="B9" s="1" t="str">
        <v>Joachim</v>
      </c>
      <c r="C9" s="1" t="str">
        <v>5.890</v>
      </c>
      <c r="D9" s="1">
        <v>109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1">
        <v>9</v>
      </c>
      <c r="B10" s="1" t="str">
        <v>Mehdi</v>
      </c>
      <c r="C10" s="1" t="str">
        <v>5.702</v>
      </c>
      <c r="D10" s="1">
        <v>426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1">
        <v>10</v>
      </c>
      <c r="B11" s="1" t="str">
        <v>Jules</v>
      </c>
      <c r="C11" s="1" t="str">
        <v>5.658</v>
      </c>
      <c r="D11" s="1">
        <v>240</v>
      </c>
    </row>
    <row r="12" spans="1:9" x14ac:dyDescent="0.3">
      <c r="A12" s="1">
        <v>11</v>
      </c>
      <c r="B12" s="1" t="str">
        <v>Damien</v>
      </c>
      <c r="C12" s="1" t="str">
        <v>5.427</v>
      </c>
      <c r="D12" s="1">
        <v>743</v>
      </c>
    </row>
    <row r="13" spans="1:9" x14ac:dyDescent="0.3">
      <c r="A13" s="1">
        <v>12</v>
      </c>
      <c r="B13" s="1" t="str">
        <v>Achille</v>
      </c>
      <c r="C13" s="1" t="str">
        <v>5.407</v>
      </c>
      <c r="D13" s="1">
        <v>829</v>
      </c>
    </row>
    <row r="14" spans="1:9" x14ac:dyDescent="0.3">
      <c r="A14" s="1">
        <v>13</v>
      </c>
      <c r="B14" s="1" t="str">
        <v>Joey</v>
      </c>
      <c r="C14" s="1" t="str">
        <v>5.192</v>
      </c>
      <c r="D14" s="1">
        <v>99</v>
      </c>
    </row>
    <row r="15" spans="1:9" x14ac:dyDescent="0.3">
      <c r="A15" s="1">
        <v>14</v>
      </c>
      <c r="B15" s="1" t="str">
        <v>Lou</v>
      </c>
      <c r="C15" s="1" t="str">
        <v>4.869</v>
      </c>
      <c r="D15" s="1">
        <v>130</v>
      </c>
    </row>
    <row r="16" spans="1:9" x14ac:dyDescent="0.3">
      <c r="A16" s="1">
        <v>15</v>
      </c>
      <c r="B16" s="1" t="str">
        <v>Paul</v>
      </c>
      <c r="C16" s="1" t="str">
        <v>4.813</v>
      </c>
      <c r="D16" s="1">
        <v>32</v>
      </c>
    </row>
    <row r="17" spans="1:4" x14ac:dyDescent="0.3">
      <c r="A17" s="1">
        <v>16</v>
      </c>
      <c r="B17" s="1" t="str">
        <v>Marie</v>
      </c>
      <c r="C17" s="1" t="str">
        <v>4.581</v>
      </c>
      <c r="D17" s="1">
        <v>307</v>
      </c>
    </row>
    <row r="18" spans="1:4" x14ac:dyDescent="0.3">
      <c r="A18" s="1">
        <v>17</v>
      </c>
      <c r="B18" s="1" t="str">
        <v>Stanislas</v>
      </c>
      <c r="C18" s="1" t="str">
        <v>4.481</v>
      </c>
      <c r="D18" s="1">
        <v>27</v>
      </c>
    </row>
    <row r="19" spans="1:4" x14ac:dyDescent="0.3">
      <c r="A19" s="1">
        <v>18</v>
      </c>
      <c r="B19" s="1" t="str">
        <v>Hugo</v>
      </c>
      <c r="C19" s="1" t="str">
        <v>4.429</v>
      </c>
      <c r="D19" s="1">
        <v>21</v>
      </c>
    </row>
    <row r="20" spans="1:4" x14ac:dyDescent="0.3">
      <c r="A20" s="1">
        <v>19</v>
      </c>
      <c r="B20" s="1" t="str">
        <v>Quentin</v>
      </c>
      <c r="C20" s="1" t="str">
        <v>4.097</v>
      </c>
      <c r="D20" s="1">
        <v>93</v>
      </c>
    </row>
    <row r="21" spans="1:4" x14ac:dyDescent="0.3">
      <c r="A21" s="1">
        <v>20</v>
      </c>
      <c r="B21" s="1" t="str">
        <v>Luca</v>
      </c>
      <c r="C21" s="1" t="str">
        <v>3.129</v>
      </c>
      <c r="D21" s="1">
        <v>186</v>
      </c>
    </row>
    <row r="22" spans="1:4" x14ac:dyDescent="0.3">
      <c r="A22" s="1">
        <v>21</v>
      </c>
      <c r="B22" s="1" t="str">
        <v>gaspard</v>
      </c>
      <c r="C22" s="1" t="str">
        <v>3.067</v>
      </c>
      <c r="D22" s="1">
        <v>30</v>
      </c>
    </row>
    <row r="23" spans="1:4" x14ac:dyDescent="0.3">
      <c r="A23" s="1">
        <v>22</v>
      </c>
      <c r="B23" s="1" t="str">
        <v>Fantinne</v>
      </c>
      <c r="C23" s="1" t="str">
        <v>2.961</v>
      </c>
      <c r="D23" s="1">
        <v>51</v>
      </c>
    </row>
    <row r="24" spans="1:4" x14ac:dyDescent="0.3">
      <c r="A24" s="1">
        <v>23</v>
      </c>
      <c r="B24" s="1" t="str">
        <v>Loulou</v>
      </c>
      <c r="C24" s="1" t="str">
        <v>2.427</v>
      </c>
      <c r="D24" s="1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2026-04-09T19:12:24Z</dcterms:modified>
</cp:coreProperties>
</file>