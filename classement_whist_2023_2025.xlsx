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20b8382962b136a/Bureau/loisir/whist/projet_application_streamlit/"/>
    </mc:Choice>
  </mc:AlternateContent>
  <xr:revisionPtr revIDLastSave="101" documentId="14_{D8C30FC8-DD4A-4CBA-A5BF-091BFC36F9C4}" xr6:coauthVersionLast="47" xr6:coauthVersionMax="47" xr10:uidLastSave="{D3A69E8C-0E86-42AB-87D6-B9767DBC2D38}"/>
  <bookViews>
    <workbookView xWindow="-108" yWindow="-108" windowWidth="23256" windowHeight="12456" xr2:uid="{00000000-000D-0000-FFFF-FFFF00000000}"/>
  </bookViews>
  <sheets>
    <sheet name="All stat" sheetId="1" r:id="rId1"/>
    <sheet name="Classemen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4" i="1" l="1"/>
  <c r="BH4" i="1"/>
  <c r="BI4" i="1"/>
  <c r="BJ4" i="1"/>
  <c r="BK4" i="1"/>
  <c r="BL4" i="1"/>
  <c r="BG6" i="1"/>
  <c r="BH6" i="1"/>
  <c r="BI6" i="1"/>
  <c r="BJ6" i="1"/>
  <c r="BK6" i="1"/>
  <c r="BL6" i="1"/>
  <c r="BG8" i="1"/>
  <c r="BH8" i="1"/>
  <c r="BI8" i="1"/>
  <c r="BJ8" i="1"/>
  <c r="BK8" i="1"/>
  <c r="BL8" i="1"/>
  <c r="H3" i="2" a="1"/>
  <c r="H3" i="2" s="1"/>
  <c r="F1" i="2" a="1"/>
  <c r="F1" i="2" s="1"/>
  <c r="BQ5" i="1"/>
  <c r="BQ4" i="1"/>
  <c r="BE4" i="1"/>
  <c r="BF4" i="1"/>
  <c r="BE6" i="1"/>
  <c r="BF6" i="1"/>
  <c r="BE8" i="1"/>
  <c r="BF8" i="1"/>
  <c r="BD8" i="1"/>
  <c r="BC8" i="1"/>
  <c r="BB8" i="1"/>
  <c r="BA8" i="1"/>
  <c r="BD6" i="1"/>
  <c r="BC6" i="1"/>
  <c r="BB6" i="1"/>
  <c r="BA6" i="1"/>
  <c r="BD4" i="1"/>
  <c r="BC4" i="1"/>
  <c r="BB4" i="1"/>
  <c r="BA4" i="1"/>
  <c r="BG5" i="1" l="1"/>
  <c r="BK5" i="1"/>
  <c r="BK7" i="1"/>
  <c r="BL2" i="1"/>
  <c r="BK1" i="1" s="1"/>
  <c r="BI7" i="1"/>
  <c r="BI5" i="1"/>
  <c r="BG7" i="1"/>
  <c r="BJ2" i="1"/>
  <c r="BI1" i="1" s="1"/>
  <c r="BH2" i="1"/>
  <c r="BG1" i="1" s="1"/>
  <c r="BG2" i="1"/>
  <c r="BG3" i="1"/>
  <c r="BI2" i="1"/>
  <c r="BI3" i="1"/>
  <c r="BK2" i="1"/>
  <c r="BK3" i="1"/>
  <c r="BC5" i="1"/>
  <c r="BE5" i="1"/>
  <c r="BF2" i="1"/>
  <c r="BE7" i="1"/>
  <c r="BE3" i="1"/>
  <c r="BE2" i="1"/>
  <c r="BA7" i="1"/>
  <c r="BA3" i="1"/>
  <c r="BD2" i="1"/>
  <c r="BA2" i="1"/>
  <c r="BA5" i="1"/>
  <c r="BC7" i="1"/>
  <c r="BC2" i="1"/>
  <c r="BB2" i="1"/>
  <c r="BA1" i="1" s="1"/>
  <c r="BC3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I6" i="1"/>
  <c r="J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E4" i="1"/>
  <c r="F4" i="1"/>
  <c r="G4" i="1"/>
  <c r="H4" i="1"/>
  <c r="E6" i="1"/>
  <c r="F6" i="1"/>
  <c r="G6" i="1"/>
  <c r="H6" i="1"/>
  <c r="E8" i="1"/>
  <c r="F8" i="1"/>
  <c r="G8" i="1"/>
  <c r="H8" i="1"/>
  <c r="D8" i="1"/>
  <c r="C8" i="1"/>
  <c r="C4" i="1"/>
  <c r="L127" i="1"/>
  <c r="L6" i="1" s="1"/>
  <c r="K127" i="1"/>
  <c r="K6" i="1" s="1"/>
  <c r="D127" i="1"/>
  <c r="D6" i="1" s="1"/>
  <c r="C127" i="1"/>
  <c r="C6" i="1" s="1"/>
  <c r="D4" i="1"/>
  <c r="BC1" i="1" l="1"/>
  <c r="BE1" i="1"/>
  <c r="K5" i="1"/>
  <c r="AI7" i="1"/>
  <c r="AW5" i="1"/>
  <c r="AA5" i="1"/>
  <c r="Y5" i="1"/>
  <c r="AU5" i="1"/>
  <c r="AI5" i="1"/>
  <c r="W5" i="1"/>
  <c r="I5" i="1"/>
  <c r="K7" i="1"/>
  <c r="AS3" i="1"/>
  <c r="AG3" i="1"/>
  <c r="U3" i="1"/>
  <c r="G5" i="1"/>
  <c r="E5" i="1"/>
  <c r="I3" i="1"/>
  <c r="S3" i="1"/>
  <c r="AS7" i="1"/>
  <c r="I7" i="1"/>
  <c r="S7" i="1"/>
  <c r="AK2" i="1"/>
  <c r="E2" i="1"/>
  <c r="AJ2" i="1"/>
  <c r="X2" i="1"/>
  <c r="L2" i="1"/>
  <c r="AE3" i="1"/>
  <c r="U7" i="1"/>
  <c r="AQ7" i="1"/>
  <c r="F2" i="1"/>
  <c r="AW2" i="1"/>
  <c r="D2" i="1"/>
  <c r="AG7" i="1"/>
  <c r="AE7" i="1"/>
  <c r="AL2" i="1"/>
  <c r="AK1" i="1" s="1"/>
  <c r="Y2" i="1"/>
  <c r="AQ3" i="1"/>
  <c r="AT2" i="1"/>
  <c r="AS1" i="1" s="1"/>
  <c r="AH2" i="1"/>
  <c r="J2" i="1"/>
  <c r="AR2" i="1"/>
  <c r="AF2" i="1"/>
  <c r="AE1" i="1" s="1"/>
  <c r="AC7" i="1"/>
  <c r="AQ5" i="1"/>
  <c r="AP2" i="1"/>
  <c r="AO1" i="1" s="1"/>
  <c r="AD2" i="1"/>
  <c r="AC5" i="1"/>
  <c r="E7" i="1"/>
  <c r="AK7" i="1"/>
  <c r="AY5" i="1"/>
  <c r="AM5" i="1"/>
  <c r="O5" i="1"/>
  <c r="AG2" i="1"/>
  <c r="AO7" i="1"/>
  <c r="AE2" i="1"/>
  <c r="S5" i="1"/>
  <c r="AE5" i="1"/>
  <c r="AO5" i="1"/>
  <c r="Q5" i="1"/>
  <c r="AN2" i="1"/>
  <c r="P2" i="1"/>
  <c r="Y7" i="1"/>
  <c r="W7" i="1"/>
  <c r="AK5" i="1"/>
  <c r="M5" i="1"/>
  <c r="AM2" i="1"/>
  <c r="O2" i="1"/>
  <c r="AU3" i="1"/>
  <c r="W3" i="1"/>
  <c r="T2" i="1"/>
  <c r="C7" i="1"/>
  <c r="Z2" i="1"/>
  <c r="AZ2" i="1"/>
  <c r="AY1" i="1" s="1"/>
  <c r="I2" i="1"/>
  <c r="Q7" i="1"/>
  <c r="R2" i="1"/>
  <c r="AU7" i="1"/>
  <c r="AV2" i="1"/>
  <c r="AU1" i="1" s="1"/>
  <c r="AB2" i="1"/>
  <c r="M7" i="1"/>
  <c r="N2" i="1"/>
  <c r="M2" i="1"/>
  <c r="H2" i="1"/>
  <c r="AW7" i="1"/>
  <c r="AX2" i="1"/>
  <c r="AW1" i="1" s="1"/>
  <c r="V2" i="1"/>
  <c r="G7" i="1"/>
  <c r="G2" i="1"/>
  <c r="C2" i="1"/>
  <c r="AC3" i="1"/>
  <c r="AC2" i="1"/>
  <c r="AO2" i="1"/>
  <c r="AO3" i="1"/>
  <c r="Q2" i="1"/>
  <c r="Q3" i="1"/>
  <c r="AY3" i="1"/>
  <c r="AA3" i="1"/>
  <c r="AS5" i="1"/>
  <c r="U5" i="1"/>
  <c r="AU2" i="1"/>
  <c r="AI2" i="1"/>
  <c r="AY7" i="1"/>
  <c r="AM7" i="1"/>
  <c r="AA7" i="1"/>
  <c r="O7" i="1"/>
  <c r="AG5" i="1"/>
  <c r="W2" i="1"/>
  <c r="K2" i="1"/>
  <c r="AS2" i="1"/>
  <c r="U2" i="1"/>
  <c r="AM3" i="1"/>
  <c r="O3" i="1"/>
  <c r="AK3" i="1"/>
  <c r="M3" i="1"/>
  <c r="AQ2" i="1"/>
  <c r="S2" i="1"/>
  <c r="AI3" i="1"/>
  <c r="K3" i="1"/>
  <c r="AY2" i="1"/>
  <c r="AA2" i="1"/>
  <c r="AW3" i="1"/>
  <c r="Y3" i="1"/>
  <c r="G3" i="1"/>
  <c r="E3" i="1"/>
  <c r="C3" i="1"/>
  <c r="C5" i="1"/>
  <c r="Y1" i="1" l="1"/>
  <c r="AM1" i="1"/>
  <c r="AC1" i="1"/>
  <c r="AQ1" i="1"/>
  <c r="AI1" i="1"/>
  <c r="U1" i="1"/>
  <c r="S1" i="1"/>
  <c r="AA1" i="1"/>
  <c r="O1" i="1"/>
  <c r="C1" i="1"/>
  <c r="AG1" i="1"/>
  <c r="K1" i="1"/>
  <c r="E1" i="1"/>
  <c r="I1" i="1"/>
  <c r="W1" i="1"/>
  <c r="G1" i="1"/>
  <c r="Q1" i="1"/>
  <c r="M1" i="1"/>
  <c r="BR78" i="1" l="1" a="1"/>
  <c r="BW78" i="1" a="1"/>
  <c r="CB110" i="1" a="1"/>
  <c r="CB136" i="1" a="1"/>
  <c r="CB136" i="1" s="1"/>
  <c r="CG136" i="1" a="1"/>
  <c r="CB78" i="1" a="1"/>
  <c r="CB78" i="1" s="1"/>
  <c r="BP90" i="1"/>
  <c r="BP4" i="1"/>
  <c r="BR78" i="1" l="1"/>
  <c r="A2" i="2" s="1" a="1"/>
  <c r="BW78" i="1"/>
  <c r="CB110" i="1"/>
  <c r="CG136" i="1"/>
  <c r="A2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<sst xmlns="http://schemas.openxmlformats.org/spreadsheetml/2006/main" count="367" uniqueCount="93">
  <si>
    <t>global</t>
  </si>
  <si>
    <t>moyenne</t>
  </si>
  <si>
    <t>/</t>
  </si>
  <si>
    <t>total (point, partie)</t>
  </si>
  <si>
    <t>q1</t>
  </si>
  <si>
    <t>q2</t>
  </si>
  <si>
    <t>Jules</t>
  </si>
  <si>
    <t>ok</t>
  </si>
  <si>
    <t>classement</t>
  </si>
  <si>
    <t>&gt;moyenne</t>
  </si>
  <si>
    <t>dernier</t>
  </si>
  <si>
    <t>manque de partie</t>
  </si>
  <si>
    <t>&lt;moyenne</t>
  </si>
  <si>
    <t>avant-dernier</t>
  </si>
  <si>
    <t>avant-avant-dernier</t>
  </si>
  <si>
    <t>moyenne d'une partie</t>
  </si>
  <si>
    <t>partie &lt; (-2)</t>
  </si>
  <si>
    <t>partie &gt; 10</t>
  </si>
  <si>
    <t>partie &lt;  2</t>
  </si>
  <si>
    <t>Robin</t>
  </si>
  <si>
    <t>Quentin</t>
  </si>
  <si>
    <t>Maxime_Ca</t>
  </si>
  <si>
    <t>cayfas a la feuille</t>
  </si>
  <si>
    <t>achille ?</t>
  </si>
  <si>
    <t xml:space="preserve">achille ? </t>
  </si>
  <si>
    <t>vide</t>
  </si>
  <si>
    <t>sépa</t>
  </si>
  <si>
    <t>q1q2-2025</t>
  </si>
  <si>
    <t>aide progra</t>
  </si>
  <si>
    <t xml:space="preserve"> </t>
  </si>
  <si>
    <t xml:space="preserve">1er  </t>
  </si>
  <si>
    <t>2ème</t>
  </si>
  <si>
    <t>3ème</t>
  </si>
  <si>
    <t>Stanislas</t>
  </si>
  <si>
    <t>Lou</t>
  </si>
  <si>
    <t>classement avec inactif</t>
  </si>
  <si>
    <t>noms</t>
  </si>
  <si>
    <t>moyennes</t>
  </si>
  <si>
    <t>partie &gt; 12</t>
  </si>
  <si>
    <t>Joey</t>
  </si>
  <si>
    <t>Hors classement</t>
  </si>
  <si>
    <t>moyennes virtuelles</t>
  </si>
  <si>
    <t>nombre de parties</t>
  </si>
  <si>
    <t>légende</t>
  </si>
  <si>
    <t>entre 50 et 100</t>
  </si>
  <si>
    <t>entre 100 et 250</t>
  </si>
  <si>
    <t>entre 250 et 500</t>
  </si>
  <si>
    <t>entre 500 et 1000</t>
  </si>
  <si>
    <t>plus de 1000</t>
  </si>
  <si>
    <t>mise à jour jusque BF</t>
  </si>
  <si>
    <t>entre 20 et 50</t>
  </si>
  <si>
    <t>entre 1 et 10</t>
  </si>
  <si>
    <t>entre 10 et 20</t>
  </si>
  <si>
    <t>statistiquement</t>
  </si>
  <si>
    <t>inutile</t>
  </si>
  <si>
    <t>pas fiable</t>
  </si>
  <si>
    <t>solide</t>
  </si>
  <si>
    <t>fiable</t>
  </si>
  <si>
    <t>très fiable</t>
  </si>
  <si>
    <t>exploratoire</t>
  </si>
  <si>
    <t>anecdotique</t>
  </si>
  <si>
    <t>inexploitable</t>
  </si>
  <si>
    <t>indiscutable</t>
  </si>
  <si>
    <t>négligeable</t>
  </si>
  <si>
    <t>fragile</t>
  </si>
  <si>
    <t>à confirmer</t>
  </si>
  <si>
    <t>fondé</t>
  </si>
  <si>
    <t>crédible</t>
  </si>
  <si>
    <t>très robuste</t>
  </si>
  <si>
    <t>irréfutable</t>
  </si>
  <si>
    <t>Achille</t>
  </si>
  <si>
    <t>Mehdi</t>
  </si>
  <si>
    <t>Boris</t>
  </si>
  <si>
    <t>Samuel</t>
  </si>
  <si>
    <t>Joachim</t>
  </si>
  <si>
    <t>Damien</t>
  </si>
  <si>
    <t>Gauthier</t>
  </si>
  <si>
    <t>Célian</t>
  </si>
  <si>
    <t>Tom</t>
  </si>
  <si>
    <t>Luca</t>
  </si>
  <si>
    <t>Loulou</t>
  </si>
  <si>
    <t>Paul</t>
  </si>
  <si>
    <t>Marie</t>
  </si>
  <si>
    <t>Harrison</t>
  </si>
  <si>
    <t>William</t>
  </si>
  <si>
    <t>Fantinne</t>
  </si>
  <si>
    <t>Pascale</t>
  </si>
  <si>
    <t>Maxime_Go</t>
  </si>
  <si>
    <t>Aurélien</t>
  </si>
  <si>
    <t>Émile</t>
  </si>
  <si>
    <t>Amélie</t>
  </si>
  <si>
    <t>Hugo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</si>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</sst>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B5E6A2"/>
        <bgColor rgb="FFB5E6A2"/>
      </patternFill>
    </fill>
    <fill>
      <patternFill patternType="solid">
        <fgColor rgb="FF92D050"/>
        <bgColor rgb="FF92D050"/>
      </patternFill>
    </fill>
    <fill>
      <patternFill patternType="solid">
        <fgColor rgb="FF00B050"/>
        <bgColor rgb="FF00B050"/>
      </patternFill>
    </fill>
    <fill>
      <patternFill patternType="solid">
        <fgColor rgb="FF00B0F0"/>
        <bgColor rgb="FF00B0F0"/>
      </patternFill>
    </fill>
    <fill>
      <patternFill patternType="solid">
        <fgColor rgb="FFBFBFBF"/>
        <bgColor rgb="FFBFBFB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1" fillId="5" borderId="0" applyNumberFormat="0" applyFont="0" applyBorder="0" applyAlignment="0" applyProtection="0"/>
    <xf numFmtId="0" fontId="1" fillId="6" borderId="0" applyNumberFormat="0" applyFont="0" applyBorder="0" applyAlignment="0" applyProtection="0"/>
    <xf numFmtId="0" fontId="1" fillId="7" borderId="0" applyNumberFormat="0" applyFont="0" applyBorder="0" applyAlignment="0" applyProtection="0"/>
    <xf numFmtId="0" fontId="1" fillId="8" borderId="0" applyNumberFormat="0" applyFont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0" fillId="15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8">
    <cellStyle name="cf1" xfId="1" xr:uid="{00000000-0005-0000-0000-000000000000}"/>
    <cellStyle name="cf2" xfId="2" xr:uid="{00000000-0005-0000-0000-000001000000}"/>
    <cellStyle name="cf3" xfId="3" xr:uid="{00000000-0005-0000-0000-000002000000}"/>
    <cellStyle name="cf4" xfId="4" xr:uid="{00000000-0005-0000-0000-000003000000}"/>
    <cellStyle name="cf5" xfId="5" xr:uid="{00000000-0005-0000-0000-000004000000}"/>
    <cellStyle name="cf6" xfId="6" xr:uid="{00000000-0005-0000-0000-000005000000}"/>
    <cellStyle name="cf7" xfId="7" xr:uid="{00000000-0005-0000-0000-000006000000}"/>
    <cellStyle name="Normal" xfId="0" builtinId="0" customBuiltin="1"/>
  </cellStyles>
  <dxfs count="25"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theme="5" tint="0.79998168889431442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H157"/>
  <sheetViews>
    <sheetView tabSelected="1" zoomScale="82" zoomScaleNormal="130" workbookViewId="0">
      <selection activeCell="A15" sqref="A15"/>
    </sheetView>
  </sheetViews>
  <sheetFormatPr baseColWidth="10" defaultRowHeight="14.4" x14ac:dyDescent="0.3"/>
  <cols>
    <col min="1" max="1" width="16.5546875" style="1" customWidth="1"/>
    <col min="2" max="2" width="16.77734375" style="1" customWidth="1"/>
    <col min="3" max="65" width="5.77734375" style="1" customWidth="1"/>
    <col min="66" max="66" width="11.5546875" style="1"/>
    <col min="67" max="68" width="20.6640625" style="1" customWidth="1"/>
    <col min="69" max="69" width="11.5546875" style="1"/>
    <col min="70" max="70" width="16.88671875" style="1" customWidth="1"/>
    <col min="71" max="72" width="11.5546875" style="1"/>
    <col min="73" max="73" width="20.33203125" style="1" customWidth="1"/>
    <col min="74" max="74" width="23.6640625" style="1" customWidth="1"/>
    <col min="75" max="75" width="21.109375" style="1" customWidth="1"/>
    <col min="76" max="76" width="20.33203125" style="1" customWidth="1"/>
    <col min="77" max="77" width="19.21875" style="1" customWidth="1"/>
    <col min="78" max="78" width="20.77734375" style="1" customWidth="1"/>
    <col min="79" max="79" width="15.77734375" style="1" customWidth="1"/>
    <col min="80" max="16384" width="11.5546875" style="1"/>
  </cols>
  <sheetData>
    <row r="1" spans="1:69" x14ac:dyDescent="0.3">
      <c r="A1" s="1" t="s">
        <v>0</v>
      </c>
      <c r="B1" s="1" t="s">
        <v>1</v>
      </c>
      <c r="C1" s="1">
        <f t="shared" ref="C1" si="0">IF(D2&gt;19,C2/D2,"/")</f>
        <v>5.4065138721351023</v>
      </c>
      <c r="D1" s="1" t="s">
        <v>2</v>
      </c>
      <c r="E1" s="1">
        <f t="shared" ref="E1" si="1">IF(F2&gt;19,E2/F2,"/")</f>
        <v>5.7695961995249405</v>
      </c>
      <c r="F1" s="1" t="s">
        <v>2</v>
      </c>
      <c r="G1" s="1">
        <f t="shared" ref="G1" si="2">IF(H2&gt;19,G2/H2,"/")</f>
        <v>7.1766098484848486</v>
      </c>
      <c r="H1" s="1" t="s">
        <v>2</v>
      </c>
      <c r="I1" s="1">
        <f t="shared" ref="I1" si="3">IF(J2&gt;19,I2/J2,"/")</f>
        <v>5.9099526066350707</v>
      </c>
      <c r="J1" s="1" t="s">
        <v>2</v>
      </c>
      <c r="K1" s="1">
        <f t="shared" ref="K1" si="4">IF(L2&gt;19,K2/L2,"/")</f>
        <v>5.8899082568807337</v>
      </c>
      <c r="L1" s="1" t="s">
        <v>2</v>
      </c>
      <c r="M1" s="1">
        <f t="shared" ref="M1" si="5">IF(N2&gt;19,M2/N2,"/")</f>
        <v>5.365925925925926</v>
      </c>
      <c r="N1" s="1" t="s">
        <v>2</v>
      </c>
      <c r="O1" s="1">
        <f t="shared" ref="O1" si="6">IF(P2&gt;19,O2/P2,"/")</f>
        <v>6.8620689655172411</v>
      </c>
      <c r="P1" s="1" t="s">
        <v>2</v>
      </c>
      <c r="Q1" s="1">
        <f t="shared" ref="Q1" si="7">IF(R2&gt;19,Q2/R2,"/")</f>
        <v>6.2635135135135132</v>
      </c>
      <c r="R1" s="1" t="s">
        <v>2</v>
      </c>
      <c r="S1" s="1">
        <f t="shared" ref="S1" si="8">IF(T2&gt;19,S2/T2,"/")</f>
        <v>5.9554655870445341</v>
      </c>
      <c r="T1" s="1" t="s">
        <v>2</v>
      </c>
      <c r="U1" s="1">
        <f t="shared" ref="U1" si="9">IF(V2&gt;19,U2/V2,"/")</f>
        <v>3.0112359550561796</v>
      </c>
      <c r="V1" s="1" t="s">
        <v>2</v>
      </c>
      <c r="W1" s="1">
        <f t="shared" ref="W1" si="10">IF(X2&gt;19,W2/X2,"/")</f>
        <v>2.0746268656716418</v>
      </c>
      <c r="X1" s="1" t="s">
        <v>2</v>
      </c>
      <c r="Y1" s="1">
        <f t="shared" ref="Y1" si="11">IF(Z2&gt;19,Y2/Z2,"/")</f>
        <v>4.8125</v>
      </c>
      <c r="Z1" s="1" t="s">
        <v>2</v>
      </c>
      <c r="AA1" s="1">
        <f t="shared" ref="AA1" si="12">IF(AB2&gt;19,AA2/AB2,"/")</f>
        <v>4.3098290598290596</v>
      </c>
      <c r="AB1" s="1" t="s">
        <v>2</v>
      </c>
      <c r="AC1" s="1">
        <f>IF(AD2&gt;19,AC2/AD2,"/")</f>
        <v>5.6988636363636367</v>
      </c>
      <c r="AD1" s="1" t="s">
        <v>2</v>
      </c>
      <c r="AE1" s="1" t="str">
        <f t="shared" ref="AE1" si="13">IF(AF2&gt;19,AE2/AF2,"/")</f>
        <v>/</v>
      </c>
      <c r="AF1" s="1" t="s">
        <v>2</v>
      </c>
      <c r="AG1" s="1">
        <f t="shared" ref="AG1" si="14">IF(AH2&gt;19,AG2/AH2,"/")</f>
        <v>6.068965517241379</v>
      </c>
      <c r="AH1" s="1" t="s">
        <v>2</v>
      </c>
      <c r="AI1" s="1">
        <f t="shared" ref="AI1" si="15">IF(AJ2&gt;19,AI2/AJ2,"/")</f>
        <v>2.9607843137254903</v>
      </c>
      <c r="AJ1" s="1" t="s">
        <v>2</v>
      </c>
      <c r="AK1" s="1" t="str">
        <f t="shared" ref="AK1" si="16">IF(AL2&gt;19,AK2/AL2,"/")</f>
        <v>/</v>
      </c>
      <c r="AL1" s="1" t="s">
        <v>2</v>
      </c>
      <c r="AM1" s="1">
        <f t="shared" ref="AM1" si="17">IF(AN2&gt;19,AM2/AN2,"/")</f>
        <v>4.5</v>
      </c>
      <c r="AN1" s="1" t="s">
        <v>2</v>
      </c>
      <c r="AO1" s="1" t="str">
        <f t="shared" ref="AO1" si="18">IF(AP2&gt;19,AO2/AP2,"/")</f>
        <v>/</v>
      </c>
      <c r="AP1" s="1" t="s">
        <v>2</v>
      </c>
      <c r="AQ1" s="1">
        <f t="shared" ref="AQ1" si="19">IF(AR2&gt;19,AQ2/AR2,"/")</f>
        <v>4.096774193548387</v>
      </c>
      <c r="AR1" s="1" t="s">
        <v>2</v>
      </c>
      <c r="AS1" s="1" t="str">
        <f t="shared" ref="AS1" si="20">IF(AT2&gt;19,AS2/AT2,"/")</f>
        <v>/</v>
      </c>
      <c r="AT1" s="1" t="s">
        <v>2</v>
      </c>
      <c r="AU1" s="1" t="str">
        <f t="shared" ref="AU1" si="21">IF(AV2&gt;19,AU2/AV2,"/")</f>
        <v>/</v>
      </c>
      <c r="AV1" s="1" t="s">
        <v>2</v>
      </c>
      <c r="AW1" s="1" t="str">
        <f t="shared" ref="AW1" si="22">IF(AX2&gt;19,AW2/AX2,"/")</f>
        <v>/</v>
      </c>
      <c r="AX1" s="1" t="s">
        <v>2</v>
      </c>
      <c r="AY1" s="1" t="str">
        <f t="shared" ref="AY1" si="23">IF(AZ2&gt;19,AY2/AZ2,"/")</f>
        <v>/</v>
      </c>
      <c r="AZ1" s="1" t="s">
        <v>2</v>
      </c>
      <c r="BA1" s="1" t="str">
        <f t="shared" ref="BA1" si="24">IF(BB2&gt;19,BA2/BB2,"/")</f>
        <v>/</v>
      </c>
      <c r="BB1" s="1" t="s">
        <v>2</v>
      </c>
      <c r="BC1" s="1">
        <f t="shared" ref="BC1" si="25">IF(BD2&gt;19,BC2/BD2,"/")</f>
        <v>4.4814814814814818</v>
      </c>
      <c r="BD1" s="1" t="s">
        <v>2</v>
      </c>
      <c r="BE1" s="1">
        <f t="shared" ref="BE1" si="26">IF(BF2&gt;19,BE2/BF2,"/")</f>
        <v>5.3152173913043477</v>
      </c>
      <c r="BF1" s="1" t="s">
        <v>2</v>
      </c>
      <c r="BG1" s="1" t="str">
        <f t="shared" ref="BG1" si="27">IF(BH2&gt;19,BG2/BH2,"/")</f>
        <v>/</v>
      </c>
      <c r="BH1" s="1" t="s">
        <v>2</v>
      </c>
      <c r="BI1" s="1" t="str">
        <f t="shared" ref="BI1" si="28">IF(BJ2&gt;19,BI2/BJ2,"/")</f>
        <v>/</v>
      </c>
      <c r="BJ1" s="1" t="s">
        <v>2</v>
      </c>
      <c r="BK1" s="1" t="str">
        <f t="shared" ref="BK1" si="29">IF(BL2&gt;19,BK2/BL2,"/")</f>
        <v>/</v>
      </c>
      <c r="BL1" s="1" t="s">
        <v>2</v>
      </c>
    </row>
    <row r="2" spans="1:69" x14ac:dyDescent="0.3">
      <c r="B2" s="1" t="s">
        <v>3</v>
      </c>
      <c r="C2" s="1">
        <f>C4+C6+C8</f>
        <v>4482</v>
      </c>
      <c r="D2" s="1">
        <f>D4+D6+D8</f>
        <v>829</v>
      </c>
      <c r="E2" s="1">
        <f t="shared" ref="E2:J2" si="30">E4+E6+E8</f>
        <v>2429</v>
      </c>
      <c r="F2" s="1">
        <f t="shared" si="30"/>
        <v>421</v>
      </c>
      <c r="G2" s="1">
        <f t="shared" si="30"/>
        <v>7578.5</v>
      </c>
      <c r="H2" s="1">
        <f t="shared" si="30"/>
        <v>1056</v>
      </c>
      <c r="I2" s="1">
        <f t="shared" si="30"/>
        <v>1247</v>
      </c>
      <c r="J2" s="1">
        <f t="shared" si="30"/>
        <v>211</v>
      </c>
      <c r="K2" s="1">
        <f t="shared" ref="K2:AZ2" si="31">K4+K6+K8</f>
        <v>642</v>
      </c>
      <c r="L2" s="1">
        <f t="shared" si="31"/>
        <v>109</v>
      </c>
      <c r="M2" s="1">
        <f t="shared" si="31"/>
        <v>3622</v>
      </c>
      <c r="N2" s="1">
        <f t="shared" si="31"/>
        <v>675</v>
      </c>
      <c r="O2" s="1">
        <f t="shared" si="31"/>
        <v>597</v>
      </c>
      <c r="P2" s="1">
        <f t="shared" si="31"/>
        <v>87</v>
      </c>
      <c r="Q2" s="1">
        <f t="shared" si="31"/>
        <v>1854</v>
      </c>
      <c r="R2" s="1">
        <f t="shared" si="31"/>
        <v>296</v>
      </c>
      <c r="S2" s="1">
        <f t="shared" si="31"/>
        <v>1471</v>
      </c>
      <c r="T2" s="1">
        <f t="shared" si="31"/>
        <v>247</v>
      </c>
      <c r="U2" s="1">
        <f t="shared" si="31"/>
        <v>536</v>
      </c>
      <c r="V2" s="1">
        <f t="shared" si="31"/>
        <v>178</v>
      </c>
      <c r="W2" s="1">
        <f t="shared" si="31"/>
        <v>139</v>
      </c>
      <c r="X2" s="1">
        <f t="shared" si="31"/>
        <v>67</v>
      </c>
      <c r="Y2" s="1">
        <f t="shared" si="31"/>
        <v>154</v>
      </c>
      <c r="Z2" s="1">
        <f t="shared" si="31"/>
        <v>32</v>
      </c>
      <c r="AA2" s="1">
        <f t="shared" si="31"/>
        <v>1008.5</v>
      </c>
      <c r="AB2" s="1">
        <f t="shared" si="31"/>
        <v>234</v>
      </c>
      <c r="AC2" s="1">
        <f t="shared" si="31"/>
        <v>1003</v>
      </c>
      <c r="AD2" s="1">
        <f t="shared" si="31"/>
        <v>176</v>
      </c>
      <c r="AE2" s="1">
        <f t="shared" si="31"/>
        <v>27</v>
      </c>
      <c r="AF2" s="1">
        <f t="shared" si="31"/>
        <v>5</v>
      </c>
      <c r="AG2" s="1">
        <f t="shared" si="31"/>
        <v>176</v>
      </c>
      <c r="AH2" s="1">
        <f t="shared" si="31"/>
        <v>29</v>
      </c>
      <c r="AI2" s="1">
        <f t="shared" si="31"/>
        <v>151</v>
      </c>
      <c r="AJ2" s="1">
        <f t="shared" si="31"/>
        <v>51</v>
      </c>
      <c r="AK2" s="1">
        <f t="shared" si="31"/>
        <v>121</v>
      </c>
      <c r="AL2" s="1">
        <f t="shared" si="31"/>
        <v>17</v>
      </c>
      <c r="AM2" s="1">
        <f t="shared" si="31"/>
        <v>387</v>
      </c>
      <c r="AN2" s="1">
        <f t="shared" si="31"/>
        <v>86</v>
      </c>
      <c r="AO2" s="1">
        <f t="shared" si="31"/>
        <v>-1</v>
      </c>
      <c r="AP2" s="1">
        <f t="shared" si="31"/>
        <v>12</v>
      </c>
      <c r="AQ2" s="1">
        <f t="shared" si="31"/>
        <v>381</v>
      </c>
      <c r="AR2" s="1">
        <f t="shared" si="31"/>
        <v>93</v>
      </c>
      <c r="AS2" s="1">
        <f t="shared" si="31"/>
        <v>8</v>
      </c>
      <c r="AT2" s="1">
        <f t="shared" si="31"/>
        <v>11</v>
      </c>
      <c r="AU2" s="1">
        <f t="shared" si="31"/>
        <v>34</v>
      </c>
      <c r="AV2" s="1">
        <f t="shared" si="31"/>
        <v>4</v>
      </c>
      <c r="AW2" s="1">
        <f t="shared" si="31"/>
        <v>14</v>
      </c>
      <c r="AX2" s="1">
        <f t="shared" si="31"/>
        <v>5</v>
      </c>
      <c r="AY2" s="1">
        <f t="shared" si="31"/>
        <v>43</v>
      </c>
      <c r="AZ2" s="1">
        <f t="shared" si="31"/>
        <v>13</v>
      </c>
      <c r="BA2" s="1">
        <f t="shared" ref="BA2:BD2" si="32">BA4+BA6+BA8</f>
        <v>34</v>
      </c>
      <c r="BB2" s="1">
        <f t="shared" si="32"/>
        <v>2</v>
      </c>
      <c r="BC2" s="1">
        <f t="shared" si="32"/>
        <v>121</v>
      </c>
      <c r="BD2" s="1">
        <f t="shared" si="32"/>
        <v>27</v>
      </c>
      <c r="BE2" s="1">
        <f t="shared" ref="BE2:BF2" si="33">BE4+BE6+BE8</f>
        <v>489</v>
      </c>
      <c r="BF2" s="1">
        <f t="shared" si="33"/>
        <v>92</v>
      </c>
      <c r="BG2" s="1">
        <f t="shared" ref="BG2:BL2" si="34">BG4+BG6+BG8</f>
        <v>69</v>
      </c>
      <c r="BH2" s="1">
        <f t="shared" si="34"/>
        <v>8</v>
      </c>
      <c r="BI2" s="1">
        <f t="shared" si="34"/>
        <v>0</v>
      </c>
      <c r="BJ2" s="1">
        <f t="shared" si="34"/>
        <v>0</v>
      </c>
      <c r="BK2" s="1">
        <f t="shared" si="34"/>
        <v>0</v>
      </c>
      <c r="BL2" s="1">
        <f t="shared" si="34"/>
        <v>0</v>
      </c>
    </row>
    <row r="3" spans="1:69" x14ac:dyDescent="0.3">
      <c r="A3" s="1" t="s">
        <v>4</v>
      </c>
      <c r="B3" s="1" t="s">
        <v>1</v>
      </c>
      <c r="C3" s="1">
        <f>C4/D4</f>
        <v>4.5925925925925926</v>
      </c>
      <c r="D3" s="1" t="s">
        <v>2</v>
      </c>
      <c r="E3" s="1">
        <f t="shared" ref="E3" si="35">E4/F4</f>
        <v>3.3414634146341462</v>
      </c>
      <c r="F3" s="1" t="s">
        <v>2</v>
      </c>
      <c r="G3" s="1">
        <f t="shared" ref="G3" si="36">G4/H4</f>
        <v>7.2666666666666666</v>
      </c>
      <c r="H3" s="1" t="s">
        <v>2</v>
      </c>
      <c r="I3" s="1">
        <f t="shared" ref="I3" si="37">I4/J4</f>
        <v>7.78125</v>
      </c>
      <c r="J3" s="1" t="s">
        <v>2</v>
      </c>
      <c r="K3" s="1">
        <f t="shared" ref="K3" si="38">K4/L4</f>
        <v>5.5</v>
      </c>
      <c r="L3" s="1" t="s">
        <v>2</v>
      </c>
      <c r="M3" s="1">
        <f t="shared" ref="M3" si="39">M4/N4</f>
        <v>5.9268292682926829</v>
      </c>
      <c r="N3" s="1" t="s">
        <v>2</v>
      </c>
      <c r="O3" s="1">
        <f t="shared" ref="O3" si="40">O4/P4</f>
        <v>6</v>
      </c>
      <c r="P3" s="1" t="s">
        <v>2</v>
      </c>
      <c r="Q3" s="1" t="e">
        <f t="shared" ref="Q3" si="41">Q4/R4</f>
        <v>#DIV/0!</v>
      </c>
      <c r="R3" s="1" t="s">
        <v>2</v>
      </c>
      <c r="S3" s="1" t="e">
        <f t="shared" ref="S3" si="42">S4/T4</f>
        <v>#DIV/0!</v>
      </c>
      <c r="T3" s="1" t="s">
        <v>2</v>
      </c>
      <c r="U3" s="1">
        <f t="shared" ref="U3" si="43">U4/V4</f>
        <v>5.8181818181818183</v>
      </c>
      <c r="V3" s="1" t="s">
        <v>2</v>
      </c>
      <c r="W3" s="1">
        <f t="shared" ref="W3" si="44">W4/X4</f>
        <v>6.1111111111111107</v>
      </c>
      <c r="X3" s="1" t="s">
        <v>2</v>
      </c>
      <c r="Y3" s="1">
        <f t="shared" ref="Y3" si="45">Y4/Z4</f>
        <v>4.8125</v>
      </c>
      <c r="Z3" s="1" t="s">
        <v>2</v>
      </c>
      <c r="AA3" s="1">
        <f t="shared" ref="AA3" si="46">AA4/AB4</f>
        <v>4.2380952380952381</v>
      </c>
      <c r="AB3" s="1" t="s">
        <v>2</v>
      </c>
      <c r="AC3" s="1" t="e">
        <f t="shared" ref="AC3" si="47">AC4/AD4</f>
        <v>#DIV/0!</v>
      </c>
      <c r="AD3" s="1" t="s">
        <v>2</v>
      </c>
      <c r="AE3" s="1" t="e">
        <f t="shared" ref="AE3" si="48">AE4/AF4</f>
        <v>#DIV/0!</v>
      </c>
      <c r="AF3" s="1" t="s">
        <v>2</v>
      </c>
      <c r="AG3" s="1" t="e">
        <f t="shared" ref="AG3" si="49">AG4/AH4</f>
        <v>#DIV/0!</v>
      </c>
      <c r="AH3" s="1" t="s">
        <v>2</v>
      </c>
      <c r="AI3" s="1" t="e">
        <f t="shared" ref="AI3" si="50">AI4/AJ4</f>
        <v>#DIV/0!</v>
      </c>
      <c r="AJ3" s="1" t="s">
        <v>2</v>
      </c>
      <c r="AK3" s="1" t="e">
        <f t="shared" ref="AK3" si="51">AK4/AL4</f>
        <v>#DIV/0!</v>
      </c>
      <c r="AL3" s="1" t="s">
        <v>2</v>
      </c>
      <c r="AM3" s="1" t="e">
        <f t="shared" ref="AM3" si="52">AM4/AN4</f>
        <v>#DIV/0!</v>
      </c>
      <c r="AN3" s="1" t="s">
        <v>2</v>
      </c>
      <c r="AO3" s="1" t="e">
        <f t="shared" ref="AO3" si="53">AO4/AP4</f>
        <v>#DIV/0!</v>
      </c>
      <c r="AP3" s="1" t="s">
        <v>2</v>
      </c>
      <c r="AQ3" s="1" t="e">
        <f t="shared" ref="AQ3" si="54">AQ4/AR4</f>
        <v>#DIV/0!</v>
      </c>
      <c r="AR3" s="1" t="s">
        <v>2</v>
      </c>
      <c r="AS3" s="1" t="e">
        <f t="shared" ref="AS3" si="55">AS4/AT4</f>
        <v>#DIV/0!</v>
      </c>
      <c r="AT3" s="1" t="s">
        <v>2</v>
      </c>
      <c r="AU3" s="1" t="e">
        <f t="shared" ref="AU3" si="56">AU4/AV4</f>
        <v>#DIV/0!</v>
      </c>
      <c r="AV3" s="1" t="s">
        <v>2</v>
      </c>
      <c r="AW3" s="1" t="e">
        <f t="shared" ref="AW3" si="57">AW4/AX4</f>
        <v>#DIV/0!</v>
      </c>
      <c r="AX3" s="1" t="s">
        <v>2</v>
      </c>
      <c r="AY3" s="1" t="e">
        <f t="shared" ref="AY3" si="58">AY4/AZ4</f>
        <v>#DIV/0!</v>
      </c>
      <c r="AZ3" s="1" t="s">
        <v>2</v>
      </c>
      <c r="BA3" s="1" t="e">
        <f t="shared" ref="BA3" si="59">BA4/BB4</f>
        <v>#DIV/0!</v>
      </c>
      <c r="BB3" s="1" t="s">
        <v>2</v>
      </c>
      <c r="BC3" s="1" t="e">
        <f t="shared" ref="BC3" si="60">BC4/BD4</f>
        <v>#DIV/0!</v>
      </c>
      <c r="BD3" s="1" t="s">
        <v>2</v>
      </c>
      <c r="BE3" s="1" t="e">
        <f t="shared" ref="BE3" si="61">BE4/BF4</f>
        <v>#DIV/0!</v>
      </c>
      <c r="BF3" s="1" t="s">
        <v>2</v>
      </c>
      <c r="BG3" s="1" t="e">
        <f t="shared" ref="BG3" si="62">BG4/BH4</f>
        <v>#DIV/0!</v>
      </c>
      <c r="BH3" s="1" t="s">
        <v>2</v>
      </c>
      <c r="BI3" s="1" t="e">
        <f t="shared" ref="BI3" si="63">BI4/BJ4</f>
        <v>#DIV/0!</v>
      </c>
      <c r="BJ3" s="1" t="s">
        <v>2</v>
      </c>
      <c r="BK3" s="1" t="e">
        <f t="shared" ref="BK3" si="64">BK4/BL4</f>
        <v>#DIV/0!</v>
      </c>
      <c r="BL3" s="1" t="s">
        <v>2</v>
      </c>
      <c r="BO3" s="1" t="s">
        <v>49</v>
      </c>
      <c r="BQ3" s="1" t="s">
        <v>28</v>
      </c>
    </row>
    <row r="4" spans="1:69" x14ac:dyDescent="0.3">
      <c r="B4" s="1" t="s">
        <v>3</v>
      </c>
      <c r="C4" s="1">
        <f>SUM(C146:C157)</f>
        <v>620</v>
      </c>
      <c r="D4" s="1">
        <f>SUM(D146:D157)</f>
        <v>135</v>
      </c>
      <c r="E4" s="1">
        <f t="shared" ref="E4:J4" si="65">SUM(E146:E157)</f>
        <v>274</v>
      </c>
      <c r="F4" s="1">
        <f t="shared" si="65"/>
        <v>82</v>
      </c>
      <c r="G4" s="1">
        <f t="shared" si="65"/>
        <v>981</v>
      </c>
      <c r="H4" s="1">
        <f t="shared" si="65"/>
        <v>135</v>
      </c>
      <c r="I4" s="1">
        <f t="shared" si="65"/>
        <v>498</v>
      </c>
      <c r="J4" s="1">
        <f t="shared" si="65"/>
        <v>64</v>
      </c>
      <c r="K4" s="1">
        <f t="shared" ref="K4:AZ4" si="66">SUM(K146:K157)</f>
        <v>44</v>
      </c>
      <c r="L4" s="1">
        <f t="shared" si="66"/>
        <v>8</v>
      </c>
      <c r="M4" s="1">
        <f t="shared" si="66"/>
        <v>243</v>
      </c>
      <c r="N4" s="1">
        <f t="shared" si="66"/>
        <v>41</v>
      </c>
      <c r="O4" s="1">
        <f t="shared" si="66"/>
        <v>12</v>
      </c>
      <c r="P4" s="1">
        <f t="shared" si="66"/>
        <v>2</v>
      </c>
      <c r="Q4" s="1">
        <f t="shared" si="66"/>
        <v>0</v>
      </c>
      <c r="R4" s="1">
        <f t="shared" si="66"/>
        <v>0</v>
      </c>
      <c r="S4" s="1">
        <f t="shared" si="66"/>
        <v>0</v>
      </c>
      <c r="T4" s="1">
        <f t="shared" si="66"/>
        <v>0</v>
      </c>
      <c r="U4" s="1">
        <f t="shared" si="66"/>
        <v>64</v>
      </c>
      <c r="V4" s="1">
        <f t="shared" si="66"/>
        <v>11</v>
      </c>
      <c r="W4" s="1">
        <f t="shared" si="66"/>
        <v>55</v>
      </c>
      <c r="X4" s="1">
        <f t="shared" si="66"/>
        <v>9</v>
      </c>
      <c r="Y4" s="1">
        <f t="shared" si="66"/>
        <v>154</v>
      </c>
      <c r="Z4" s="1">
        <f t="shared" si="66"/>
        <v>32</v>
      </c>
      <c r="AA4" s="1">
        <f t="shared" si="66"/>
        <v>89</v>
      </c>
      <c r="AB4" s="1">
        <f t="shared" si="66"/>
        <v>21</v>
      </c>
      <c r="AC4" s="1">
        <f t="shared" si="66"/>
        <v>0</v>
      </c>
      <c r="AD4" s="1">
        <f t="shared" si="66"/>
        <v>0</v>
      </c>
      <c r="AE4" s="1">
        <f t="shared" si="66"/>
        <v>0</v>
      </c>
      <c r="AF4" s="1">
        <f t="shared" si="66"/>
        <v>0</v>
      </c>
      <c r="AG4" s="1">
        <f t="shared" si="66"/>
        <v>0</v>
      </c>
      <c r="AH4" s="1">
        <f t="shared" si="66"/>
        <v>0</v>
      </c>
      <c r="AI4" s="1">
        <f t="shared" si="66"/>
        <v>0</v>
      </c>
      <c r="AJ4" s="1">
        <f t="shared" si="66"/>
        <v>0</v>
      </c>
      <c r="AK4" s="1">
        <f t="shared" si="66"/>
        <v>0</v>
      </c>
      <c r="AL4" s="1">
        <f t="shared" si="66"/>
        <v>0</v>
      </c>
      <c r="AM4" s="1">
        <f t="shared" si="66"/>
        <v>0</v>
      </c>
      <c r="AN4" s="1">
        <f t="shared" si="66"/>
        <v>0</v>
      </c>
      <c r="AO4" s="1">
        <f t="shared" si="66"/>
        <v>0</v>
      </c>
      <c r="AP4" s="1">
        <f t="shared" si="66"/>
        <v>0</v>
      </c>
      <c r="AQ4" s="1">
        <f t="shared" si="66"/>
        <v>0</v>
      </c>
      <c r="AR4" s="1">
        <f t="shared" si="66"/>
        <v>0</v>
      </c>
      <c r="AS4" s="1">
        <f t="shared" si="66"/>
        <v>0</v>
      </c>
      <c r="AT4" s="1">
        <f t="shared" si="66"/>
        <v>0</v>
      </c>
      <c r="AU4" s="1">
        <f t="shared" si="66"/>
        <v>0</v>
      </c>
      <c r="AV4" s="1">
        <f t="shared" si="66"/>
        <v>0</v>
      </c>
      <c r="AW4" s="1">
        <f t="shared" si="66"/>
        <v>0</v>
      </c>
      <c r="AX4" s="1">
        <f t="shared" si="66"/>
        <v>0</v>
      </c>
      <c r="AY4" s="1">
        <f t="shared" si="66"/>
        <v>0</v>
      </c>
      <c r="AZ4" s="1">
        <f t="shared" si="66"/>
        <v>0</v>
      </c>
      <c r="BA4" s="1">
        <f t="shared" ref="BA4:BD4" si="67">SUM(BA146:BA157)</f>
        <v>0</v>
      </c>
      <c r="BB4" s="1">
        <f t="shared" si="67"/>
        <v>0</v>
      </c>
      <c r="BC4" s="1">
        <f t="shared" si="67"/>
        <v>0</v>
      </c>
      <c r="BD4" s="1">
        <f t="shared" si="67"/>
        <v>0</v>
      </c>
      <c r="BE4" s="1">
        <f t="shared" ref="BE4:BF4" si="68">SUM(BE146:BE157)</f>
        <v>0</v>
      </c>
      <c r="BF4" s="1">
        <f t="shared" si="68"/>
        <v>0</v>
      </c>
      <c r="BG4" s="1">
        <f t="shared" ref="BG4:BL4" si="69">SUM(BG146:BG157)</f>
        <v>0</v>
      </c>
      <c r="BH4" s="1">
        <f t="shared" si="69"/>
        <v>0</v>
      </c>
      <c r="BI4" s="1">
        <f t="shared" si="69"/>
        <v>0</v>
      </c>
      <c r="BJ4" s="1">
        <f t="shared" si="69"/>
        <v>0</v>
      </c>
      <c r="BK4" s="1">
        <f t="shared" si="69"/>
        <v>0</v>
      </c>
      <c r="BL4" s="1">
        <f t="shared" si="69"/>
        <v>0</v>
      </c>
      <c r="BP4" s="1" t="b">
        <f>NOT(OR("/",AVERAGE($C$1:$AL$1)&gt;AC$1,SMALL($C$1:$AL$1,1)=AC$1,SMALL($C$1:$AL$1,2)=AC$1,SMALL($C$1:$AL$1,3)=AC$1,LARGE($C$1:$AL$1,1)=AC$1,LARGE($C$1:$AL$1,2)=AC$1,LARGE($C$1:$AL$1,3)=AC$1))</f>
        <v>1</v>
      </c>
      <c r="BQ4" s="1" t="e">
        <f>$C$10:$C$157,$E$10:$E$157,$G$10:$G$157,$I$10:$I$157,$K$10:$K$157,$M$10:$M$157,$O$10:$O$157,$Q$10:$Q$157,$S$10:$S$157,$U$10:$U$157,$W$10:$W$157,$Y$10:$Y$157,$AA$10:$AA$157,$AC$10:$AC$157,$AE$10:$AE$157,$AG$10:$AG$157,$AI$10:$AI$157,$AK$10:$AK$157,$AM$10:$AM$157,$AO$10:$AO$157,$AQ$10:$AQ$157,$AS$10:$AS$157,$AU$10:$AU$157,$AW$10:$AW$157,$AY$10:$AY$157,$BA$10:$BA$157,$BC$10:$BC$157,$BE$10:$BE$157</f>
        <v>#VALUE!</v>
      </c>
    </row>
    <row r="5" spans="1:69" x14ac:dyDescent="0.3">
      <c r="A5" s="1" t="s">
        <v>5</v>
      </c>
      <c r="B5" s="1" t="s">
        <v>1</v>
      </c>
      <c r="C5" s="1">
        <f>C6/D6</f>
        <v>4.8756756756756756</v>
      </c>
      <c r="D5" s="1" t="s">
        <v>2</v>
      </c>
      <c r="E5" s="1">
        <f t="shared" ref="E5" si="70">E6/F6</f>
        <v>6.131455399061033</v>
      </c>
      <c r="F5" s="1" t="s">
        <v>2</v>
      </c>
      <c r="G5" s="1">
        <f t="shared" ref="G5" si="71">G6/H6</f>
        <v>6.8512820512820509</v>
      </c>
      <c r="H5" s="1" t="s">
        <v>2</v>
      </c>
      <c r="I5" s="1">
        <f t="shared" ref="I5" si="72">I6/J6</f>
        <v>6.5287356321839081</v>
      </c>
      <c r="J5" s="1" t="s">
        <v>2</v>
      </c>
      <c r="K5" s="1">
        <f t="shared" ref="K5" si="73">K6/L6</f>
        <v>6.6756756756756754</v>
      </c>
      <c r="L5" s="1" t="s">
        <v>2</v>
      </c>
      <c r="M5" s="1">
        <f t="shared" ref="M5" si="74">M6/N6</f>
        <v>3.8979591836734695</v>
      </c>
      <c r="N5" s="1" t="s">
        <v>2</v>
      </c>
      <c r="O5" s="1">
        <f t="shared" ref="O5" si="75">O6/P6</f>
        <v>5.85</v>
      </c>
      <c r="P5" s="1" t="s">
        <v>2</v>
      </c>
      <c r="Q5" s="1">
        <f t="shared" ref="Q5" si="76">Q6/R6</f>
        <v>5.8133333333333335</v>
      </c>
      <c r="R5" s="1" t="s">
        <v>2</v>
      </c>
      <c r="S5" s="1">
        <f t="shared" ref="S5" si="77">S6/T6</f>
        <v>7.1037735849056602</v>
      </c>
      <c r="T5" s="1" t="s">
        <v>2</v>
      </c>
      <c r="U5" s="1">
        <f t="shared" ref="U5" si="78">U6/V6</f>
        <v>2.096774193548387</v>
      </c>
      <c r="V5" s="1" t="s">
        <v>2</v>
      </c>
      <c r="W5" s="1">
        <f t="shared" ref="W5" si="79">W6/X6</f>
        <v>1.8214285714285714</v>
      </c>
      <c r="X5" s="1" t="s">
        <v>2</v>
      </c>
      <c r="Y5" s="1" t="e">
        <f t="shared" ref="Y5" si="80">Y6/Z6</f>
        <v>#DIV/0!</v>
      </c>
      <c r="Z5" s="1" t="s">
        <v>2</v>
      </c>
      <c r="AA5" s="1">
        <f t="shared" ref="AA5" si="81">AA6/AB6</f>
        <v>2.0249999999999999</v>
      </c>
      <c r="AB5" s="1" t="s">
        <v>2</v>
      </c>
      <c r="AC5" s="1">
        <f t="shared" ref="AC5" si="82">AC6/AD6</f>
        <v>1.6</v>
      </c>
      <c r="AD5" s="1" t="s">
        <v>2</v>
      </c>
      <c r="AE5" s="1">
        <f t="shared" ref="AE5" si="83">AE6/AF6</f>
        <v>9</v>
      </c>
      <c r="AF5" s="1" t="s">
        <v>2</v>
      </c>
      <c r="AG5" s="1">
        <f t="shared" ref="AG5" si="84">AG6/AH6</f>
        <v>6.068965517241379</v>
      </c>
      <c r="AH5" s="1" t="s">
        <v>2</v>
      </c>
      <c r="AI5" s="1" t="e">
        <f t="shared" ref="AI5" si="85">AI6/AJ6</f>
        <v>#DIV/0!</v>
      </c>
      <c r="AJ5" s="1" t="s">
        <v>2</v>
      </c>
      <c r="AK5" s="1">
        <f t="shared" ref="AK5" si="86">AK6/AL6</f>
        <v>7.117647058823529</v>
      </c>
      <c r="AL5" s="1" t="s">
        <v>2</v>
      </c>
      <c r="AM5" s="1" t="e">
        <f t="shared" ref="AM5" si="87">AM6/AN6</f>
        <v>#DIV/0!</v>
      </c>
      <c r="AN5" s="1" t="s">
        <v>2</v>
      </c>
      <c r="AO5" s="1" t="e">
        <f t="shared" ref="AO5" si="88">AO6/AP6</f>
        <v>#DIV/0!</v>
      </c>
      <c r="AP5" s="1" t="s">
        <v>2</v>
      </c>
      <c r="AQ5" s="1">
        <f t="shared" ref="AQ5" si="89">AQ6/AR6</f>
        <v>3.75</v>
      </c>
      <c r="AR5" s="1" t="s">
        <v>2</v>
      </c>
      <c r="AS5" s="1" t="e">
        <f t="shared" ref="AS5" si="90">AS6/AT6</f>
        <v>#DIV/0!</v>
      </c>
      <c r="AT5" s="1" t="s">
        <v>2</v>
      </c>
      <c r="AU5" s="1" t="e">
        <f t="shared" ref="AU5" si="91">AU6/AV6</f>
        <v>#DIV/0!</v>
      </c>
      <c r="AV5" s="1" t="s">
        <v>2</v>
      </c>
      <c r="AW5" s="1" t="e">
        <f t="shared" ref="AW5" si="92">AW6/AX6</f>
        <v>#DIV/0!</v>
      </c>
      <c r="AX5" s="1" t="s">
        <v>2</v>
      </c>
      <c r="AY5" s="1">
        <f t="shared" ref="AY5" si="93">AY6/AZ6</f>
        <v>2.75</v>
      </c>
      <c r="AZ5" s="1" t="s">
        <v>2</v>
      </c>
      <c r="BA5" s="1" t="e">
        <f t="shared" ref="BA5" si="94">BA6/BB6</f>
        <v>#DIV/0!</v>
      </c>
      <c r="BB5" s="1" t="s">
        <v>2</v>
      </c>
      <c r="BC5" s="1" t="e">
        <f t="shared" ref="BC5" si="95">BC6/BD6</f>
        <v>#DIV/0!</v>
      </c>
      <c r="BD5" s="1" t="s">
        <v>2</v>
      </c>
      <c r="BE5" s="1" t="e">
        <f t="shared" ref="BE5" si="96">BE6/BF6</f>
        <v>#DIV/0!</v>
      </c>
      <c r="BF5" s="1" t="s">
        <v>2</v>
      </c>
      <c r="BG5" s="1" t="e">
        <f t="shared" ref="BG5" si="97">BG6/BH6</f>
        <v>#DIV/0!</v>
      </c>
      <c r="BH5" s="1" t="s">
        <v>2</v>
      </c>
      <c r="BI5" s="1" t="e">
        <f t="shared" ref="BI5" si="98">BI6/BJ6</f>
        <v>#DIV/0!</v>
      </c>
      <c r="BJ5" s="1" t="s">
        <v>2</v>
      </c>
      <c r="BK5" s="1" t="e">
        <f t="shared" ref="BK5" si="99">BK6/BL6</f>
        <v>#DIV/0!</v>
      </c>
      <c r="BL5" s="1" t="s">
        <v>2</v>
      </c>
      <c r="BQ5" s="1" t="e">
        <f>$D$10:$D$157,$F$10:$F$157,$H$10:$H$157,$J$10:$J$157,$L$10:$L$157,$N$10:$N$157,$P$10:$P$157,$R$10:$R$157,$T$10:$T$157,$V$10:$V$157,$X$10:$X$157,$Z$10:$Z$157,$AB$10:$AB$157,$AD$10:$AD$157,$AF$10:$AF$157,$AH$10:$AH$157,$AJ$10:$AJ$157,$AL$10:$AL$157,$AN$10:$AN$157,$AP$10:$AP$157,$AR$10:$AR$157,$AT$10:$AT$157,$AV$10:$AV$157,$AX$10:$AX$157,$AZ$10:$AZ$157,$BB$10:$BB$157,$BD$10:$BD$157,$BF$10:$BF$157</f>
        <v>#VALUE!</v>
      </c>
    </row>
    <row r="6" spans="1:69" x14ac:dyDescent="0.3">
      <c r="B6" s="1" t="s">
        <v>3</v>
      </c>
      <c r="C6" s="1">
        <f>SUM(C102:C144)</f>
        <v>1804</v>
      </c>
      <c r="D6" s="1">
        <f>SUM(D102:D144)</f>
        <v>370</v>
      </c>
      <c r="E6" s="1">
        <f t="shared" ref="E6:J6" si="100">SUM(E102:E144)</f>
        <v>1306</v>
      </c>
      <c r="F6" s="1">
        <f t="shared" si="100"/>
        <v>213</v>
      </c>
      <c r="G6" s="1">
        <f t="shared" si="100"/>
        <v>2672</v>
      </c>
      <c r="H6" s="1">
        <f t="shared" si="100"/>
        <v>390</v>
      </c>
      <c r="I6" s="1">
        <f t="shared" si="100"/>
        <v>568</v>
      </c>
      <c r="J6" s="1">
        <f t="shared" si="100"/>
        <v>87</v>
      </c>
      <c r="K6" s="1">
        <f t="shared" ref="K6:AZ6" si="101">SUM(K102:K144)</f>
        <v>494</v>
      </c>
      <c r="L6" s="1">
        <f t="shared" si="101"/>
        <v>74</v>
      </c>
      <c r="M6" s="1">
        <f t="shared" si="101"/>
        <v>573</v>
      </c>
      <c r="N6" s="1">
        <f t="shared" si="101"/>
        <v>147</v>
      </c>
      <c r="O6" s="1">
        <f t="shared" si="101"/>
        <v>117</v>
      </c>
      <c r="P6" s="1">
        <f t="shared" si="101"/>
        <v>20</v>
      </c>
      <c r="Q6" s="1">
        <f t="shared" si="101"/>
        <v>436</v>
      </c>
      <c r="R6" s="1">
        <f t="shared" si="101"/>
        <v>75</v>
      </c>
      <c r="S6" s="1">
        <f t="shared" si="101"/>
        <v>753</v>
      </c>
      <c r="T6" s="1">
        <f t="shared" si="101"/>
        <v>106</v>
      </c>
      <c r="U6" s="1">
        <f t="shared" si="101"/>
        <v>65</v>
      </c>
      <c r="V6" s="1">
        <f t="shared" si="101"/>
        <v>31</v>
      </c>
      <c r="W6" s="1">
        <f t="shared" si="101"/>
        <v>51</v>
      </c>
      <c r="X6" s="1">
        <f t="shared" si="101"/>
        <v>28</v>
      </c>
      <c r="Y6" s="1">
        <f t="shared" si="101"/>
        <v>0</v>
      </c>
      <c r="Z6" s="1">
        <f t="shared" si="101"/>
        <v>0</v>
      </c>
      <c r="AA6" s="1">
        <f t="shared" si="101"/>
        <v>81</v>
      </c>
      <c r="AB6" s="1">
        <f t="shared" si="101"/>
        <v>40</v>
      </c>
      <c r="AC6" s="1">
        <f t="shared" si="101"/>
        <v>16</v>
      </c>
      <c r="AD6" s="1">
        <f t="shared" si="101"/>
        <v>10</v>
      </c>
      <c r="AE6" s="1">
        <f t="shared" si="101"/>
        <v>27</v>
      </c>
      <c r="AF6" s="1">
        <f t="shared" si="101"/>
        <v>3</v>
      </c>
      <c r="AG6" s="1">
        <f t="shared" si="101"/>
        <v>176</v>
      </c>
      <c r="AH6" s="1">
        <f t="shared" si="101"/>
        <v>29</v>
      </c>
      <c r="AI6" s="1">
        <f t="shared" si="101"/>
        <v>0</v>
      </c>
      <c r="AJ6" s="1">
        <f t="shared" si="101"/>
        <v>0</v>
      </c>
      <c r="AK6" s="1">
        <f t="shared" si="101"/>
        <v>121</v>
      </c>
      <c r="AL6" s="1">
        <f t="shared" si="101"/>
        <v>17</v>
      </c>
      <c r="AM6" s="1">
        <f t="shared" si="101"/>
        <v>0</v>
      </c>
      <c r="AN6" s="1">
        <f t="shared" si="101"/>
        <v>0</v>
      </c>
      <c r="AO6" s="1">
        <f t="shared" si="101"/>
        <v>0</v>
      </c>
      <c r="AP6" s="1">
        <f t="shared" si="101"/>
        <v>0</v>
      </c>
      <c r="AQ6" s="1">
        <f t="shared" si="101"/>
        <v>60</v>
      </c>
      <c r="AR6" s="1">
        <f t="shared" si="101"/>
        <v>16</v>
      </c>
      <c r="AS6" s="1">
        <f t="shared" si="101"/>
        <v>0</v>
      </c>
      <c r="AT6" s="1">
        <f t="shared" si="101"/>
        <v>0</v>
      </c>
      <c r="AU6" s="1">
        <f t="shared" si="101"/>
        <v>0</v>
      </c>
      <c r="AV6" s="1">
        <f t="shared" si="101"/>
        <v>0</v>
      </c>
      <c r="AW6" s="1">
        <f t="shared" si="101"/>
        <v>0</v>
      </c>
      <c r="AX6" s="1">
        <f t="shared" si="101"/>
        <v>0</v>
      </c>
      <c r="AY6" s="1">
        <f t="shared" si="101"/>
        <v>22</v>
      </c>
      <c r="AZ6" s="1">
        <f t="shared" si="101"/>
        <v>8</v>
      </c>
      <c r="BA6" s="1">
        <f t="shared" ref="BA6:BD6" si="102">SUM(BA102:BA144)</f>
        <v>0</v>
      </c>
      <c r="BB6" s="1">
        <f t="shared" si="102"/>
        <v>0</v>
      </c>
      <c r="BC6" s="1">
        <f t="shared" si="102"/>
        <v>0</v>
      </c>
      <c r="BD6" s="1">
        <f t="shared" si="102"/>
        <v>0</v>
      </c>
      <c r="BE6" s="1">
        <f t="shared" ref="BE6:BF6" si="103">SUM(BE102:BE144)</f>
        <v>0</v>
      </c>
      <c r="BF6" s="1">
        <f t="shared" si="103"/>
        <v>0</v>
      </c>
      <c r="BG6" s="1">
        <f t="shared" ref="BG6:BL6" si="104">SUM(BG102:BG144)</f>
        <v>0</v>
      </c>
      <c r="BH6" s="1">
        <f t="shared" si="104"/>
        <v>0</v>
      </c>
      <c r="BI6" s="1">
        <f t="shared" si="104"/>
        <v>0</v>
      </c>
      <c r="BJ6" s="1">
        <f t="shared" si="104"/>
        <v>0</v>
      </c>
      <c r="BK6" s="1">
        <f t="shared" si="104"/>
        <v>0</v>
      </c>
      <c r="BL6" s="1">
        <f t="shared" si="104"/>
        <v>0</v>
      </c>
    </row>
    <row r="7" spans="1:69" x14ac:dyDescent="0.3">
      <c r="A7" s="15" t="s">
        <v>27</v>
      </c>
      <c r="B7" s="15" t="s">
        <v>1</v>
      </c>
      <c r="C7" s="15">
        <f>C8/D8</f>
        <v>6.3518518518518521</v>
      </c>
      <c r="D7" s="15" t="s">
        <v>2</v>
      </c>
      <c r="E7" s="15">
        <f t="shared" ref="E7" si="105">E8/F8</f>
        <v>6.7380952380952381</v>
      </c>
      <c r="F7" s="15" t="s">
        <v>2</v>
      </c>
      <c r="G7" s="15">
        <f t="shared" ref="G7" si="106">G8/H8</f>
        <v>7.3926553672316384</v>
      </c>
      <c r="H7" s="15" t="s">
        <v>2</v>
      </c>
      <c r="I7" s="15">
        <f t="shared" ref="I7" si="107">I8/J8</f>
        <v>3.0166666666666666</v>
      </c>
      <c r="J7" s="15" t="s">
        <v>2</v>
      </c>
      <c r="K7" s="15">
        <f t="shared" ref="K7" si="108">K8/L8</f>
        <v>3.8518518518518516</v>
      </c>
      <c r="L7" s="15" t="s">
        <v>2</v>
      </c>
      <c r="M7" s="15">
        <f t="shared" ref="M7" si="109">M8/N8</f>
        <v>5.7618069815195074</v>
      </c>
      <c r="N7" s="15" t="s">
        <v>2</v>
      </c>
      <c r="O7" s="15">
        <f t="shared" ref="O7" si="110">O8/P8</f>
        <v>7.2</v>
      </c>
      <c r="P7" s="15" t="s">
        <v>2</v>
      </c>
      <c r="Q7" s="15">
        <f t="shared" ref="Q7" si="111">Q8/R8</f>
        <v>6.4162895927601813</v>
      </c>
      <c r="R7" s="15" t="s">
        <v>2</v>
      </c>
      <c r="S7" s="15">
        <f t="shared" ref="S7" si="112">S8/T8</f>
        <v>5.0921985815602833</v>
      </c>
      <c r="T7" s="15" t="s">
        <v>2</v>
      </c>
      <c r="U7" s="15">
        <f t="shared" ref="U7" si="113">U8/V8</f>
        <v>2.9926470588235294</v>
      </c>
      <c r="V7" s="15" t="s">
        <v>2</v>
      </c>
      <c r="W7" s="15">
        <f t="shared" ref="W7" si="114">W8/X8</f>
        <v>1.1000000000000001</v>
      </c>
      <c r="X7" s="15" t="s">
        <v>2</v>
      </c>
      <c r="Y7" s="15" t="e">
        <f t="shared" ref="Y7" si="115">Y8/Z8</f>
        <v>#DIV/0!</v>
      </c>
      <c r="Z7" s="15" t="s">
        <v>2</v>
      </c>
      <c r="AA7" s="15">
        <f t="shared" ref="AA7" si="116">AA8/AB8</f>
        <v>4.8468208092485545</v>
      </c>
      <c r="AB7" s="15" t="s">
        <v>2</v>
      </c>
      <c r="AC7" s="15">
        <f t="shared" ref="AC7" si="117">AC8/AD8</f>
        <v>5.9457831325301207</v>
      </c>
      <c r="AD7" s="15" t="s">
        <v>2</v>
      </c>
      <c r="AE7" s="15">
        <f t="shared" ref="AE7" si="118">AE8/AF8</f>
        <v>0</v>
      </c>
      <c r="AF7" s="15" t="s">
        <v>2</v>
      </c>
      <c r="AG7" s="15" t="e">
        <f t="shared" ref="AG7" si="119">AG8/AH8</f>
        <v>#DIV/0!</v>
      </c>
      <c r="AH7" s="15" t="s">
        <v>2</v>
      </c>
      <c r="AI7" s="15">
        <f t="shared" ref="AI7" si="120">AI8/AJ8</f>
        <v>2.9607843137254903</v>
      </c>
      <c r="AJ7" s="15" t="s">
        <v>2</v>
      </c>
      <c r="AK7" s="15" t="e">
        <f t="shared" ref="AK7" si="121">AK8/AL8</f>
        <v>#DIV/0!</v>
      </c>
      <c r="AL7" s="15" t="s">
        <v>2</v>
      </c>
      <c r="AM7" s="15">
        <f t="shared" ref="AM7" si="122">AM8/AN8</f>
        <v>4.5</v>
      </c>
      <c r="AN7" s="15" t="s">
        <v>2</v>
      </c>
      <c r="AO7" s="15">
        <f t="shared" ref="AO7" si="123">AO8/AP8</f>
        <v>-8.3333333333333329E-2</v>
      </c>
      <c r="AP7" s="15" t="s">
        <v>2</v>
      </c>
      <c r="AQ7" s="15">
        <f t="shared" ref="AQ7" si="124">AQ8/AR8</f>
        <v>4.1688311688311686</v>
      </c>
      <c r="AR7" s="15" t="s">
        <v>2</v>
      </c>
      <c r="AS7" s="15">
        <f t="shared" ref="AS7" si="125">AS8/AT8</f>
        <v>0.72727272727272729</v>
      </c>
      <c r="AT7" s="15" t="s">
        <v>2</v>
      </c>
      <c r="AU7" s="15">
        <f t="shared" ref="AU7" si="126">AU8/AV8</f>
        <v>8.5</v>
      </c>
      <c r="AV7" s="15" t="s">
        <v>2</v>
      </c>
      <c r="AW7" s="15">
        <f t="shared" ref="AW7" si="127">AW8/AX8</f>
        <v>2.8</v>
      </c>
      <c r="AX7" s="15" t="s">
        <v>2</v>
      </c>
      <c r="AY7" s="15">
        <f t="shared" ref="AY7" si="128">AY8/AZ8</f>
        <v>4.2</v>
      </c>
      <c r="AZ7" s="15" t="s">
        <v>2</v>
      </c>
      <c r="BA7" s="15">
        <f t="shared" ref="BA7" si="129">BA8/BB8</f>
        <v>17</v>
      </c>
      <c r="BB7" s="15" t="s">
        <v>2</v>
      </c>
      <c r="BC7" s="15">
        <f t="shared" ref="BC7" si="130">BC8/BD8</f>
        <v>4.4814814814814818</v>
      </c>
      <c r="BD7" s="15" t="s">
        <v>2</v>
      </c>
      <c r="BE7" s="15">
        <f t="shared" ref="BE7" si="131">BE8/BF8</f>
        <v>5.3152173913043477</v>
      </c>
      <c r="BF7" s="15" t="s">
        <v>2</v>
      </c>
      <c r="BG7" s="15">
        <f t="shared" ref="BG7" si="132">BG8/BH8</f>
        <v>8.625</v>
      </c>
      <c r="BH7" s="15" t="s">
        <v>2</v>
      </c>
      <c r="BI7" s="15" t="e">
        <f t="shared" ref="BI7" si="133">BI8/BJ8</f>
        <v>#DIV/0!</v>
      </c>
      <c r="BJ7" s="15" t="s">
        <v>2</v>
      </c>
      <c r="BK7" s="15" t="e">
        <f t="shared" ref="BK7" si="134">BK8/BL8</f>
        <v>#DIV/0!</v>
      </c>
      <c r="BL7" s="15" t="s">
        <v>2</v>
      </c>
    </row>
    <row r="8" spans="1:69" x14ac:dyDescent="0.3">
      <c r="A8" s="15"/>
      <c r="B8" s="15" t="s">
        <v>3</v>
      </c>
      <c r="C8" s="15">
        <f>SUM(C10:C100)</f>
        <v>2058</v>
      </c>
      <c r="D8" s="15">
        <f>SUM(D10:D100)</f>
        <v>324</v>
      </c>
      <c r="E8" s="15">
        <f t="shared" ref="E8:J8" si="135">SUM(E10:E100)</f>
        <v>849</v>
      </c>
      <c r="F8" s="15">
        <f t="shared" si="135"/>
        <v>126</v>
      </c>
      <c r="G8" s="15">
        <f t="shared" si="135"/>
        <v>3925.5</v>
      </c>
      <c r="H8" s="15">
        <f t="shared" si="135"/>
        <v>531</v>
      </c>
      <c r="I8" s="15">
        <f t="shared" si="135"/>
        <v>181</v>
      </c>
      <c r="J8" s="15">
        <f t="shared" si="135"/>
        <v>60</v>
      </c>
      <c r="K8" s="15">
        <f t="shared" ref="K8:AZ8" si="136">SUM(K10:K100)</f>
        <v>104</v>
      </c>
      <c r="L8" s="15">
        <f t="shared" si="136"/>
        <v>27</v>
      </c>
      <c r="M8" s="15">
        <f t="shared" si="136"/>
        <v>2806</v>
      </c>
      <c r="N8" s="15">
        <f t="shared" si="136"/>
        <v>487</v>
      </c>
      <c r="O8" s="15">
        <f t="shared" si="136"/>
        <v>468</v>
      </c>
      <c r="P8" s="15">
        <f t="shared" si="136"/>
        <v>65</v>
      </c>
      <c r="Q8" s="15">
        <f t="shared" si="136"/>
        <v>1418</v>
      </c>
      <c r="R8" s="15">
        <f t="shared" si="136"/>
        <v>221</v>
      </c>
      <c r="S8" s="15">
        <f t="shared" si="136"/>
        <v>718</v>
      </c>
      <c r="T8" s="15">
        <f t="shared" si="136"/>
        <v>141</v>
      </c>
      <c r="U8" s="15">
        <f t="shared" si="136"/>
        <v>407</v>
      </c>
      <c r="V8" s="15">
        <f t="shared" si="136"/>
        <v>136</v>
      </c>
      <c r="W8" s="15">
        <f t="shared" si="136"/>
        <v>33</v>
      </c>
      <c r="X8" s="15">
        <f t="shared" si="136"/>
        <v>30</v>
      </c>
      <c r="Y8" s="15">
        <f t="shared" si="136"/>
        <v>0</v>
      </c>
      <c r="Z8" s="15">
        <f t="shared" si="136"/>
        <v>0</v>
      </c>
      <c r="AA8" s="15">
        <f t="shared" si="136"/>
        <v>838.5</v>
      </c>
      <c r="AB8" s="15">
        <f t="shared" si="136"/>
        <v>173</v>
      </c>
      <c r="AC8" s="15">
        <f t="shared" si="136"/>
        <v>987</v>
      </c>
      <c r="AD8" s="15">
        <f t="shared" si="136"/>
        <v>166</v>
      </c>
      <c r="AE8" s="15">
        <f t="shared" si="136"/>
        <v>0</v>
      </c>
      <c r="AF8" s="15">
        <f t="shared" si="136"/>
        <v>2</v>
      </c>
      <c r="AG8" s="15">
        <f t="shared" si="136"/>
        <v>0</v>
      </c>
      <c r="AH8" s="15">
        <f t="shared" si="136"/>
        <v>0</v>
      </c>
      <c r="AI8" s="15">
        <f t="shared" si="136"/>
        <v>151</v>
      </c>
      <c r="AJ8" s="15">
        <f t="shared" si="136"/>
        <v>51</v>
      </c>
      <c r="AK8" s="15">
        <f t="shared" si="136"/>
        <v>0</v>
      </c>
      <c r="AL8" s="15">
        <f t="shared" si="136"/>
        <v>0</v>
      </c>
      <c r="AM8" s="15">
        <f t="shared" si="136"/>
        <v>387</v>
      </c>
      <c r="AN8" s="15">
        <f t="shared" si="136"/>
        <v>86</v>
      </c>
      <c r="AO8" s="15">
        <f t="shared" si="136"/>
        <v>-1</v>
      </c>
      <c r="AP8" s="15">
        <f t="shared" si="136"/>
        <v>12</v>
      </c>
      <c r="AQ8" s="15">
        <f t="shared" si="136"/>
        <v>321</v>
      </c>
      <c r="AR8" s="15">
        <f t="shared" si="136"/>
        <v>77</v>
      </c>
      <c r="AS8" s="15">
        <f t="shared" si="136"/>
        <v>8</v>
      </c>
      <c r="AT8" s="15">
        <f t="shared" si="136"/>
        <v>11</v>
      </c>
      <c r="AU8" s="15">
        <f t="shared" si="136"/>
        <v>34</v>
      </c>
      <c r="AV8" s="15">
        <f t="shared" si="136"/>
        <v>4</v>
      </c>
      <c r="AW8" s="15">
        <f t="shared" si="136"/>
        <v>14</v>
      </c>
      <c r="AX8" s="15">
        <f t="shared" si="136"/>
        <v>5</v>
      </c>
      <c r="AY8" s="15">
        <f t="shared" si="136"/>
        <v>21</v>
      </c>
      <c r="AZ8" s="15">
        <f t="shared" si="136"/>
        <v>5</v>
      </c>
      <c r="BA8" s="15">
        <f t="shared" ref="BA8:BD8" si="137">SUM(BA10:BA100)</f>
        <v>34</v>
      </c>
      <c r="BB8" s="15">
        <f t="shared" si="137"/>
        <v>2</v>
      </c>
      <c r="BC8" s="15">
        <f t="shared" si="137"/>
        <v>121</v>
      </c>
      <c r="BD8" s="15">
        <f t="shared" si="137"/>
        <v>27</v>
      </c>
      <c r="BE8" s="15">
        <f t="shared" ref="BE8:BF8" si="138">SUM(BE10:BE100)</f>
        <v>489</v>
      </c>
      <c r="BF8" s="15">
        <f t="shared" si="138"/>
        <v>92</v>
      </c>
      <c r="BG8" s="15">
        <f t="shared" ref="BG8:BL8" si="139">SUM(BG10:BG100)</f>
        <v>69</v>
      </c>
      <c r="BH8" s="15">
        <f t="shared" si="139"/>
        <v>8</v>
      </c>
      <c r="BI8" s="15">
        <f t="shared" si="139"/>
        <v>0</v>
      </c>
      <c r="BJ8" s="15">
        <f t="shared" si="139"/>
        <v>0</v>
      </c>
      <c r="BK8" s="15">
        <f t="shared" si="139"/>
        <v>0</v>
      </c>
      <c r="BL8" s="15">
        <f t="shared" si="139"/>
        <v>0</v>
      </c>
    </row>
    <row r="9" spans="1:69" x14ac:dyDescent="0.3">
      <c r="C9" s="27" t="s">
        <v>70</v>
      </c>
      <c r="D9" s="27"/>
      <c r="E9" s="27" t="s">
        <v>71</v>
      </c>
      <c r="F9" s="27"/>
      <c r="G9" s="27" t="s">
        <v>72</v>
      </c>
      <c r="H9" s="27"/>
      <c r="I9" s="27" t="s">
        <v>73</v>
      </c>
      <c r="J9" s="27"/>
      <c r="K9" s="27" t="s">
        <v>74</v>
      </c>
      <c r="L9" s="27"/>
      <c r="M9" s="27" t="s">
        <v>75</v>
      </c>
      <c r="N9" s="27"/>
      <c r="O9" s="27" t="s">
        <v>76</v>
      </c>
      <c r="P9" s="27"/>
      <c r="Q9" s="27" t="s">
        <v>77</v>
      </c>
      <c r="R9" s="27"/>
      <c r="S9" s="27" t="s">
        <v>78</v>
      </c>
      <c r="T9" s="27"/>
      <c r="U9" s="27" t="s">
        <v>79</v>
      </c>
      <c r="V9" s="27"/>
      <c r="W9" s="27" t="s">
        <v>80</v>
      </c>
      <c r="X9" s="27"/>
      <c r="Y9" s="27" t="s">
        <v>81</v>
      </c>
      <c r="Z9" s="27"/>
      <c r="AA9" s="27" t="s">
        <v>82</v>
      </c>
      <c r="AB9" s="27"/>
      <c r="AC9" s="27" t="s">
        <v>6</v>
      </c>
      <c r="AD9" s="27"/>
      <c r="AE9" s="27" t="s">
        <v>83</v>
      </c>
      <c r="AF9" s="27"/>
      <c r="AG9" s="27" t="s">
        <v>84</v>
      </c>
      <c r="AH9" s="27"/>
      <c r="AI9" s="27" t="s">
        <v>85</v>
      </c>
      <c r="AJ9" s="27"/>
      <c r="AK9" s="27" t="s">
        <v>86</v>
      </c>
      <c r="AL9" s="27"/>
      <c r="AM9" s="26" t="s">
        <v>39</v>
      </c>
      <c r="AN9" s="26"/>
      <c r="AO9" s="26" t="s">
        <v>19</v>
      </c>
      <c r="AP9" s="26"/>
      <c r="AQ9" s="26" t="s">
        <v>20</v>
      </c>
      <c r="AR9" s="26"/>
      <c r="AS9" s="26" t="s">
        <v>87</v>
      </c>
      <c r="AT9" s="26"/>
      <c r="AU9" s="26" t="s">
        <v>21</v>
      </c>
      <c r="AV9" s="26"/>
      <c r="AW9" s="26" t="s">
        <v>88</v>
      </c>
      <c r="AX9" s="26"/>
      <c r="AY9" s="26" t="s">
        <v>89</v>
      </c>
      <c r="AZ9" s="26"/>
      <c r="BA9" s="27" t="s">
        <v>90</v>
      </c>
      <c r="BB9" s="27"/>
      <c r="BC9" s="27" t="s">
        <v>33</v>
      </c>
      <c r="BD9" s="27"/>
      <c r="BE9" s="27" t="s">
        <v>34</v>
      </c>
      <c r="BF9" s="27"/>
      <c r="BG9" s="26" t="s">
        <v>91</v>
      </c>
      <c r="BH9" s="26"/>
      <c r="BI9" s="27" t="s">
        <v>92</v>
      </c>
      <c r="BJ9" s="27"/>
      <c r="BK9" s="27" t="s">
        <v>92</v>
      </c>
      <c r="BL9" s="27"/>
    </row>
    <row r="10" spans="1:69" x14ac:dyDescent="0.3">
      <c r="B10" s="1">
        <v>146</v>
      </c>
    </row>
    <row r="11" spans="1:69" x14ac:dyDescent="0.3">
      <c r="B11" s="1">
        <v>145</v>
      </c>
    </row>
    <row r="12" spans="1:69" x14ac:dyDescent="0.3">
      <c r="B12" s="1">
        <v>144</v>
      </c>
    </row>
    <row r="13" spans="1:69" x14ac:dyDescent="0.3">
      <c r="B13" s="1">
        <v>143</v>
      </c>
    </row>
    <row r="14" spans="1:69" x14ac:dyDescent="0.3">
      <c r="B14" s="1">
        <v>142</v>
      </c>
    </row>
    <row r="15" spans="1:69" x14ac:dyDescent="0.3">
      <c r="B15" s="1">
        <v>141</v>
      </c>
      <c r="M15" s="1">
        <v>11</v>
      </c>
      <c r="N15" s="1">
        <v>2</v>
      </c>
      <c r="Q15" s="1">
        <v>0</v>
      </c>
      <c r="R15" s="1">
        <v>2</v>
      </c>
      <c r="S15" s="1">
        <v>11</v>
      </c>
      <c r="T15" s="1">
        <v>2</v>
      </c>
      <c r="AC15" s="1">
        <v>18</v>
      </c>
      <c r="AD15" s="1">
        <v>2</v>
      </c>
    </row>
    <row r="16" spans="1:69" x14ac:dyDescent="0.3">
      <c r="B16" s="1">
        <v>140</v>
      </c>
      <c r="O16" s="1">
        <v>24</v>
      </c>
      <c r="P16" s="1">
        <v>8</v>
      </c>
      <c r="Q16" s="1">
        <v>28</v>
      </c>
      <c r="R16" s="1">
        <v>8</v>
      </c>
      <c r="S16" s="1">
        <v>53</v>
      </c>
      <c r="T16" s="1">
        <v>8</v>
      </c>
      <c r="AC16" s="1">
        <v>76</v>
      </c>
      <c r="AD16" s="1">
        <v>8</v>
      </c>
    </row>
    <row r="17" spans="1:60" x14ac:dyDescent="0.3">
      <c r="A17" s="1" t="s">
        <v>7</v>
      </c>
      <c r="B17" s="1">
        <v>139</v>
      </c>
      <c r="M17" s="1">
        <v>38</v>
      </c>
      <c r="N17" s="1">
        <v>10</v>
      </c>
      <c r="O17" s="1">
        <v>63</v>
      </c>
      <c r="P17" s="1">
        <v>10</v>
      </c>
      <c r="Q17" s="1">
        <v>120</v>
      </c>
      <c r="R17" s="1">
        <v>10</v>
      </c>
      <c r="AA17" s="1">
        <v>39</v>
      </c>
      <c r="AB17" s="1">
        <v>10</v>
      </c>
    </row>
    <row r="18" spans="1:60" x14ac:dyDescent="0.3">
      <c r="A18" s="1" t="s">
        <v>7</v>
      </c>
      <c r="B18" s="1">
        <v>138</v>
      </c>
      <c r="G18" s="1">
        <v>-8</v>
      </c>
      <c r="H18" s="1">
        <v>1</v>
      </c>
      <c r="M18" s="1">
        <v>8</v>
      </c>
      <c r="N18" s="1">
        <v>1</v>
      </c>
      <c r="Q18" s="1">
        <v>-8</v>
      </c>
      <c r="R18" s="1">
        <v>1</v>
      </c>
      <c r="S18" s="1">
        <v>8</v>
      </c>
      <c r="T18" s="1">
        <v>1</v>
      </c>
    </row>
    <row r="19" spans="1:60" x14ac:dyDescent="0.3">
      <c r="A19" s="1" t="s">
        <v>7</v>
      </c>
      <c r="B19" s="1">
        <v>137</v>
      </c>
      <c r="G19" s="1">
        <v>25</v>
      </c>
      <c r="H19" s="1">
        <v>3</v>
      </c>
      <c r="M19" s="1">
        <v>0</v>
      </c>
      <c r="N19" s="1">
        <v>3</v>
      </c>
      <c r="S19" s="1">
        <v>22</v>
      </c>
      <c r="T19" s="1">
        <v>3</v>
      </c>
      <c r="AC19" s="1">
        <v>19</v>
      </c>
      <c r="AD19" s="1">
        <v>3</v>
      </c>
    </row>
    <row r="20" spans="1:60" x14ac:dyDescent="0.3">
      <c r="A20" s="1" t="s">
        <v>7</v>
      </c>
      <c r="B20" s="1">
        <v>136</v>
      </c>
      <c r="M20" s="1">
        <v>-31</v>
      </c>
      <c r="N20" s="1">
        <v>8</v>
      </c>
      <c r="Q20" s="1">
        <v>89</v>
      </c>
      <c r="R20" s="1">
        <v>8</v>
      </c>
      <c r="S20" s="1">
        <v>15</v>
      </c>
      <c r="T20" s="1">
        <v>8</v>
      </c>
      <c r="AC20" s="1">
        <v>104</v>
      </c>
      <c r="AD20" s="1">
        <v>8</v>
      </c>
      <c r="BE20" s="1">
        <v>56</v>
      </c>
      <c r="BF20" s="1">
        <v>8</v>
      </c>
    </row>
    <row r="21" spans="1:60" x14ac:dyDescent="0.3">
      <c r="A21" s="1" t="s">
        <v>7</v>
      </c>
      <c r="B21" s="1">
        <v>135</v>
      </c>
      <c r="G21" s="1">
        <v>42</v>
      </c>
      <c r="H21" s="1">
        <v>8</v>
      </c>
      <c r="M21" s="1">
        <v>76</v>
      </c>
      <c r="N21" s="1">
        <v>8</v>
      </c>
      <c r="S21" s="1">
        <v>50</v>
      </c>
      <c r="T21" s="1">
        <v>8</v>
      </c>
      <c r="BE21" s="1">
        <v>11</v>
      </c>
      <c r="BF21" s="1">
        <v>8</v>
      </c>
    </row>
    <row r="22" spans="1:60" x14ac:dyDescent="0.3">
      <c r="A22" s="1" t="s">
        <v>7</v>
      </c>
      <c r="B22" s="1">
        <v>134</v>
      </c>
      <c r="G22" s="1">
        <v>51</v>
      </c>
      <c r="H22" s="1">
        <v>8</v>
      </c>
      <c r="M22" s="1">
        <v>66</v>
      </c>
      <c r="N22" s="1">
        <v>8</v>
      </c>
      <c r="S22" s="1">
        <v>25</v>
      </c>
      <c r="T22" s="1">
        <v>8</v>
      </c>
      <c r="BG22" s="1">
        <v>69</v>
      </c>
      <c r="BH22" s="1">
        <v>8</v>
      </c>
    </row>
    <row r="23" spans="1:60" x14ac:dyDescent="0.3">
      <c r="B23" s="1">
        <v>133</v>
      </c>
      <c r="C23" s="1">
        <v>76</v>
      </c>
      <c r="D23" s="1">
        <v>5</v>
      </c>
      <c r="G23" s="1">
        <v>49</v>
      </c>
      <c r="H23" s="1">
        <v>5</v>
      </c>
      <c r="K23" s="1">
        <v>-3</v>
      </c>
      <c r="L23" s="1">
        <v>5</v>
      </c>
      <c r="Q23" s="1">
        <v>24</v>
      </c>
      <c r="R23" s="1">
        <v>5</v>
      </c>
    </row>
    <row r="24" spans="1:60" x14ac:dyDescent="0.3">
      <c r="A24" s="1" t="s">
        <v>7</v>
      </c>
      <c r="B24" s="1">
        <v>132</v>
      </c>
      <c r="G24" s="1">
        <v>48</v>
      </c>
      <c r="H24" s="1">
        <v>16</v>
      </c>
      <c r="M24" s="1">
        <v>86</v>
      </c>
      <c r="N24" s="1">
        <v>16</v>
      </c>
      <c r="S24" s="1">
        <v>108</v>
      </c>
      <c r="T24" s="1">
        <v>16</v>
      </c>
      <c r="AA24" s="1">
        <v>92</v>
      </c>
      <c r="AB24" s="1">
        <v>16</v>
      </c>
      <c r="AC24" s="1">
        <v>127</v>
      </c>
      <c r="AD24" s="1">
        <v>16</v>
      </c>
    </row>
    <row r="25" spans="1:60" x14ac:dyDescent="0.3">
      <c r="A25" s="1" t="s">
        <v>7</v>
      </c>
      <c r="B25" s="1">
        <v>131</v>
      </c>
      <c r="M25" s="1">
        <v>48</v>
      </c>
      <c r="N25" s="1">
        <v>10</v>
      </c>
      <c r="AM25" s="1">
        <v>54</v>
      </c>
      <c r="AN25" s="1">
        <v>10</v>
      </c>
      <c r="AQ25" s="1">
        <v>23</v>
      </c>
      <c r="AR25" s="1">
        <v>10</v>
      </c>
      <c r="BC25" s="1">
        <v>57</v>
      </c>
      <c r="BD25" s="1">
        <v>10</v>
      </c>
    </row>
    <row r="26" spans="1:60" x14ac:dyDescent="0.3">
      <c r="A26" s="1" t="s">
        <v>7</v>
      </c>
      <c r="B26" s="1">
        <v>130</v>
      </c>
      <c r="M26" s="1">
        <v>112</v>
      </c>
      <c r="N26" s="1">
        <v>16</v>
      </c>
      <c r="Q26" s="1">
        <v>67</v>
      </c>
      <c r="R26" s="1">
        <v>16</v>
      </c>
      <c r="AM26" s="1">
        <v>157</v>
      </c>
      <c r="AN26" s="1">
        <v>16</v>
      </c>
      <c r="AQ26" s="1">
        <v>22</v>
      </c>
      <c r="AR26" s="1">
        <v>16</v>
      </c>
    </row>
    <row r="27" spans="1:60" x14ac:dyDescent="0.3">
      <c r="A27" s="1" t="s">
        <v>7</v>
      </c>
      <c r="B27" s="1">
        <v>129</v>
      </c>
      <c r="G27" s="1">
        <v>31</v>
      </c>
      <c r="H27" s="1">
        <v>2</v>
      </c>
      <c r="M27" s="1">
        <v>20</v>
      </c>
      <c r="N27" s="1">
        <v>2</v>
      </c>
      <c r="Q27" s="1">
        <v>11</v>
      </c>
      <c r="R27" s="1">
        <v>1</v>
      </c>
      <c r="AA27" s="1">
        <v>0</v>
      </c>
      <c r="AB27" s="1">
        <v>1</v>
      </c>
      <c r="AM27" s="1">
        <v>0</v>
      </c>
      <c r="AN27" s="1">
        <v>2</v>
      </c>
    </row>
    <row r="28" spans="1:60" x14ac:dyDescent="0.3">
      <c r="A28" s="1" t="s">
        <v>7</v>
      </c>
      <c r="B28" s="1">
        <v>128</v>
      </c>
      <c r="M28" s="1">
        <v>76</v>
      </c>
      <c r="N28" s="1">
        <v>8</v>
      </c>
      <c r="Q28" s="1">
        <v>50</v>
      </c>
      <c r="R28" s="1">
        <v>8</v>
      </c>
      <c r="AC28" s="1">
        <v>26</v>
      </c>
      <c r="AD28" s="1">
        <v>8</v>
      </c>
      <c r="AM28" s="1">
        <v>32</v>
      </c>
      <c r="AN28" s="1">
        <v>8</v>
      </c>
      <c r="BE28" s="1">
        <v>45</v>
      </c>
      <c r="BF28" s="1">
        <v>8</v>
      </c>
    </row>
    <row r="29" spans="1:60" x14ac:dyDescent="0.3">
      <c r="A29" s="1" t="s">
        <v>7</v>
      </c>
      <c r="B29" s="1">
        <v>127</v>
      </c>
      <c r="M29" s="1">
        <v>12</v>
      </c>
      <c r="N29" s="1">
        <v>4</v>
      </c>
      <c r="Q29" s="1">
        <v>60</v>
      </c>
      <c r="R29" s="1">
        <v>4</v>
      </c>
      <c r="AC29" s="1">
        <v>25</v>
      </c>
      <c r="AD29" s="1">
        <v>4</v>
      </c>
      <c r="BE29" s="1">
        <v>-4</v>
      </c>
      <c r="BF29" s="1">
        <v>4</v>
      </c>
    </row>
    <row r="30" spans="1:60" x14ac:dyDescent="0.3">
      <c r="A30" s="1" t="s">
        <v>7</v>
      </c>
      <c r="B30" s="1">
        <v>126</v>
      </c>
      <c r="G30" s="1">
        <v>54</v>
      </c>
      <c r="H30" s="1">
        <v>10</v>
      </c>
      <c r="M30" s="1">
        <v>88</v>
      </c>
      <c r="N30" s="1">
        <v>10</v>
      </c>
      <c r="Q30" s="1">
        <v>43</v>
      </c>
      <c r="R30" s="1">
        <v>10</v>
      </c>
      <c r="U30" s="1">
        <v>32</v>
      </c>
      <c r="V30" s="1">
        <v>10</v>
      </c>
    </row>
    <row r="31" spans="1:60" x14ac:dyDescent="0.3">
      <c r="A31" s="1" t="s">
        <v>7</v>
      </c>
      <c r="B31" s="1">
        <v>125</v>
      </c>
      <c r="M31" s="1">
        <v>13</v>
      </c>
      <c r="N31" s="1">
        <v>4</v>
      </c>
      <c r="O31" s="1">
        <v>13</v>
      </c>
      <c r="P31" s="1">
        <v>4</v>
      </c>
      <c r="AM31" s="1">
        <v>26</v>
      </c>
      <c r="AN31" s="1">
        <v>4</v>
      </c>
      <c r="AQ31" s="1">
        <v>44</v>
      </c>
      <c r="AR31" s="1">
        <v>4</v>
      </c>
    </row>
    <row r="32" spans="1:60" x14ac:dyDescent="0.3">
      <c r="A32" s="1" t="s">
        <v>7</v>
      </c>
      <c r="B32" s="1">
        <v>124</v>
      </c>
      <c r="G32" s="1">
        <v>112</v>
      </c>
      <c r="H32" s="1">
        <v>10</v>
      </c>
      <c r="M32" s="1">
        <v>23</v>
      </c>
      <c r="N32" s="1">
        <v>10</v>
      </c>
      <c r="Q32" s="1">
        <v>103</v>
      </c>
      <c r="R32" s="1">
        <v>10</v>
      </c>
      <c r="AC32" s="1">
        <v>57</v>
      </c>
      <c r="AD32" s="1">
        <v>11</v>
      </c>
      <c r="BE32" s="1">
        <v>36</v>
      </c>
      <c r="BF32" s="1">
        <v>7</v>
      </c>
    </row>
    <row r="33" spans="1:58" x14ac:dyDescent="0.3">
      <c r="A33" s="1" t="s">
        <v>7</v>
      </c>
      <c r="B33" s="1">
        <v>123</v>
      </c>
      <c r="G33" s="1">
        <v>119</v>
      </c>
      <c r="H33" s="1">
        <v>12</v>
      </c>
      <c r="M33" s="1">
        <v>68</v>
      </c>
      <c r="N33" s="1">
        <v>12</v>
      </c>
      <c r="U33" s="1">
        <v>33</v>
      </c>
      <c r="V33" s="1">
        <v>12</v>
      </c>
      <c r="AA33" s="1">
        <v>74</v>
      </c>
      <c r="AB33" s="1">
        <v>12</v>
      </c>
    </row>
    <row r="34" spans="1:58" x14ac:dyDescent="0.3">
      <c r="A34" s="1" t="s">
        <v>7</v>
      </c>
      <c r="B34" s="1">
        <v>122</v>
      </c>
      <c r="C34" s="1">
        <v>28</v>
      </c>
      <c r="D34" s="1">
        <v>8</v>
      </c>
      <c r="G34" s="1">
        <v>46</v>
      </c>
      <c r="H34" s="1">
        <v>8</v>
      </c>
      <c r="M34" s="1">
        <v>41</v>
      </c>
      <c r="N34" s="1">
        <v>8</v>
      </c>
      <c r="Q34" s="1">
        <v>36</v>
      </c>
      <c r="R34" s="1">
        <v>8</v>
      </c>
    </row>
    <row r="35" spans="1:58" x14ac:dyDescent="0.3">
      <c r="A35" s="1" t="s">
        <v>7</v>
      </c>
      <c r="B35" s="1">
        <v>121</v>
      </c>
      <c r="Q35" s="1">
        <v>59</v>
      </c>
      <c r="R35" s="1">
        <v>5</v>
      </c>
      <c r="AA35" s="1">
        <v>53</v>
      </c>
      <c r="AB35" s="1">
        <v>5</v>
      </c>
      <c r="AC35" s="1">
        <v>24</v>
      </c>
      <c r="AD35" s="1">
        <v>4</v>
      </c>
      <c r="AQ35" s="1">
        <v>51</v>
      </c>
      <c r="AR35" s="1">
        <v>5</v>
      </c>
      <c r="BE35" s="1">
        <v>13</v>
      </c>
      <c r="BF35" s="1">
        <v>5</v>
      </c>
    </row>
    <row r="36" spans="1:58" x14ac:dyDescent="0.3">
      <c r="A36" s="1" t="s">
        <v>7</v>
      </c>
      <c r="B36" s="1">
        <v>120</v>
      </c>
      <c r="C36" s="1">
        <v>98</v>
      </c>
      <c r="D36" s="1">
        <v>16</v>
      </c>
      <c r="G36" s="1">
        <v>120</v>
      </c>
      <c r="H36" s="1">
        <v>16</v>
      </c>
      <c r="M36" s="1">
        <v>156</v>
      </c>
      <c r="N36" s="1">
        <v>16</v>
      </c>
      <c r="O36" s="1">
        <v>98</v>
      </c>
      <c r="P36" s="1">
        <v>16</v>
      </c>
      <c r="AM36" s="1">
        <v>27</v>
      </c>
      <c r="AN36" s="1">
        <v>16</v>
      </c>
    </row>
    <row r="37" spans="1:58" x14ac:dyDescent="0.3">
      <c r="A37" s="1" t="s">
        <v>7</v>
      </c>
      <c r="B37" s="1">
        <v>119</v>
      </c>
      <c r="G37" s="1">
        <v>114</v>
      </c>
      <c r="H37" s="1">
        <v>12</v>
      </c>
      <c r="M37" s="1">
        <v>98</v>
      </c>
      <c r="N37" s="1">
        <v>12</v>
      </c>
      <c r="AA37" s="1">
        <v>46</v>
      </c>
      <c r="AB37" s="1">
        <v>12</v>
      </c>
      <c r="AQ37" s="1">
        <v>64</v>
      </c>
      <c r="AR37" s="1">
        <v>12</v>
      </c>
    </row>
    <row r="38" spans="1:58" x14ac:dyDescent="0.3">
      <c r="A38" s="1" t="s">
        <v>7</v>
      </c>
      <c r="B38" s="1">
        <v>118</v>
      </c>
      <c r="G38" s="1">
        <v>39</v>
      </c>
      <c r="H38" s="1">
        <v>8</v>
      </c>
      <c r="M38" s="1">
        <v>54</v>
      </c>
      <c r="N38" s="1">
        <v>8</v>
      </c>
      <c r="AC38" s="1">
        <v>34</v>
      </c>
      <c r="AD38" s="1">
        <v>8</v>
      </c>
      <c r="AQ38" s="1">
        <v>62</v>
      </c>
      <c r="AR38" s="1">
        <v>8</v>
      </c>
    </row>
    <row r="39" spans="1:58" x14ac:dyDescent="0.3">
      <c r="A39" s="1" t="s">
        <v>7</v>
      </c>
      <c r="B39" s="1">
        <v>117</v>
      </c>
      <c r="C39" s="1">
        <v>22</v>
      </c>
      <c r="D39" s="1">
        <v>3</v>
      </c>
      <c r="Q39" s="1">
        <v>0</v>
      </c>
      <c r="R39" s="1">
        <v>3</v>
      </c>
      <c r="S39" s="1">
        <v>0</v>
      </c>
      <c r="T39" s="1">
        <v>3</v>
      </c>
      <c r="AC39" s="1">
        <v>49</v>
      </c>
      <c r="AD39" s="1">
        <v>4</v>
      </c>
      <c r="AI39" s="1">
        <v>28</v>
      </c>
      <c r="AJ39" s="1">
        <v>3</v>
      </c>
    </row>
    <row r="40" spans="1:58" x14ac:dyDescent="0.3">
      <c r="A40" s="1" t="s">
        <v>7</v>
      </c>
      <c r="B40" s="1">
        <v>116</v>
      </c>
      <c r="C40" s="1">
        <v>130</v>
      </c>
      <c r="D40" s="1">
        <v>12</v>
      </c>
      <c r="M40" s="1">
        <v>45</v>
      </c>
      <c r="N40" s="1">
        <v>12</v>
      </c>
      <c r="AC40" s="1">
        <v>69</v>
      </c>
      <c r="AD40" s="1">
        <v>12</v>
      </c>
      <c r="AI40" s="1">
        <v>31</v>
      </c>
      <c r="AJ40" s="1">
        <v>12</v>
      </c>
    </row>
    <row r="41" spans="1:58" x14ac:dyDescent="0.3">
      <c r="A41" s="1" t="s">
        <v>7</v>
      </c>
      <c r="B41" s="1">
        <v>115</v>
      </c>
      <c r="G41" s="1">
        <v>20</v>
      </c>
      <c r="H41" s="1">
        <v>4</v>
      </c>
      <c r="M41" s="1">
        <v>49</v>
      </c>
      <c r="N41" s="1">
        <v>4</v>
      </c>
      <c r="Q41" s="1">
        <v>24</v>
      </c>
      <c r="R41" s="1">
        <v>4</v>
      </c>
      <c r="AC41" s="1">
        <v>13</v>
      </c>
      <c r="AD41" s="1">
        <v>4</v>
      </c>
      <c r="BE41" s="1">
        <v>25</v>
      </c>
      <c r="BF41" s="1">
        <v>4</v>
      </c>
    </row>
    <row r="42" spans="1:58" x14ac:dyDescent="0.3">
      <c r="A42" s="1" t="s">
        <v>7</v>
      </c>
      <c r="B42" s="1">
        <v>114</v>
      </c>
      <c r="M42" s="1">
        <v>47</v>
      </c>
      <c r="N42" s="1">
        <v>3</v>
      </c>
      <c r="AC42" s="1">
        <v>0</v>
      </c>
      <c r="AD42" s="1">
        <v>3</v>
      </c>
      <c r="AM42" s="1">
        <v>0</v>
      </c>
      <c r="AN42" s="1">
        <v>3</v>
      </c>
      <c r="BE42" s="1">
        <v>13</v>
      </c>
      <c r="BF42" s="1">
        <v>3</v>
      </c>
    </row>
    <row r="43" spans="1:58" x14ac:dyDescent="0.3">
      <c r="A43" s="1" t="s">
        <v>7</v>
      </c>
      <c r="B43" s="1">
        <v>113</v>
      </c>
      <c r="C43" s="1">
        <v>31</v>
      </c>
      <c r="D43" s="1">
        <v>12</v>
      </c>
      <c r="G43" s="1">
        <v>131</v>
      </c>
      <c r="H43" s="1">
        <v>12</v>
      </c>
      <c r="M43" s="1">
        <v>102</v>
      </c>
      <c r="N43" s="1">
        <v>12</v>
      </c>
      <c r="U43" s="1">
        <v>10</v>
      </c>
      <c r="V43" s="1">
        <v>12</v>
      </c>
    </row>
    <row r="44" spans="1:58" x14ac:dyDescent="0.3">
      <c r="A44" s="1" t="s">
        <v>7</v>
      </c>
      <c r="B44" s="1">
        <v>112</v>
      </c>
      <c r="M44" s="1">
        <v>8</v>
      </c>
      <c r="N44" s="1">
        <v>5</v>
      </c>
      <c r="S44" s="1">
        <v>28</v>
      </c>
      <c r="T44" s="1">
        <v>5</v>
      </c>
      <c r="AC44" s="1">
        <v>35</v>
      </c>
      <c r="AD44" s="1">
        <v>5</v>
      </c>
      <c r="AY44" s="1">
        <v>21</v>
      </c>
      <c r="AZ44" s="1">
        <v>5</v>
      </c>
    </row>
    <row r="45" spans="1:58" x14ac:dyDescent="0.3">
      <c r="A45" s="1" t="s">
        <v>7</v>
      </c>
      <c r="B45" s="1">
        <v>111</v>
      </c>
      <c r="M45" s="1">
        <v>97</v>
      </c>
      <c r="N45" s="1">
        <v>8</v>
      </c>
      <c r="Q45" s="1">
        <v>45</v>
      </c>
      <c r="R45" s="1">
        <v>8</v>
      </c>
      <c r="AA45" s="1">
        <v>1</v>
      </c>
      <c r="AB45" s="1">
        <v>8</v>
      </c>
      <c r="AC45" s="1">
        <v>31</v>
      </c>
      <c r="AD45" s="1">
        <v>8</v>
      </c>
      <c r="BE45" s="1">
        <v>65</v>
      </c>
      <c r="BF45" s="1">
        <v>8</v>
      </c>
    </row>
    <row r="46" spans="1:58" x14ac:dyDescent="0.3">
      <c r="A46" s="1" t="s">
        <v>7</v>
      </c>
      <c r="B46" s="1">
        <v>110</v>
      </c>
      <c r="M46" s="1">
        <v>36</v>
      </c>
      <c r="N46" s="1">
        <v>7</v>
      </c>
      <c r="Q46" s="1">
        <v>79</v>
      </c>
      <c r="R46" s="1">
        <v>7</v>
      </c>
      <c r="S46" s="1">
        <v>-1</v>
      </c>
      <c r="T46" s="1">
        <v>7</v>
      </c>
      <c r="AC46" s="1">
        <v>47</v>
      </c>
      <c r="AD46" s="1">
        <v>7</v>
      </c>
    </row>
    <row r="47" spans="1:58" x14ac:dyDescent="0.3">
      <c r="A47" s="1" t="s">
        <v>7</v>
      </c>
      <c r="B47" s="1">
        <v>109</v>
      </c>
      <c r="G47" s="1">
        <v>40</v>
      </c>
      <c r="H47" s="1">
        <v>3</v>
      </c>
      <c r="Q47" s="1">
        <v>14</v>
      </c>
      <c r="R47" s="1">
        <v>3</v>
      </c>
      <c r="AC47" s="1">
        <v>15</v>
      </c>
      <c r="AD47" s="1">
        <v>3</v>
      </c>
      <c r="AM47" s="1">
        <v>9</v>
      </c>
      <c r="AN47" s="1">
        <v>1</v>
      </c>
      <c r="BE47" s="1">
        <v>17</v>
      </c>
      <c r="BF47" s="1">
        <v>2</v>
      </c>
    </row>
    <row r="48" spans="1:58" x14ac:dyDescent="0.3">
      <c r="A48" s="1" t="s">
        <v>7</v>
      </c>
      <c r="B48" s="1">
        <v>108</v>
      </c>
      <c r="Q48" s="1">
        <v>64</v>
      </c>
      <c r="R48" s="1">
        <v>11</v>
      </c>
      <c r="AA48" s="1">
        <v>15</v>
      </c>
      <c r="AB48" s="1">
        <v>11</v>
      </c>
      <c r="AM48" s="1">
        <v>53</v>
      </c>
      <c r="AN48" s="1">
        <v>11</v>
      </c>
      <c r="BE48" s="1">
        <v>96</v>
      </c>
      <c r="BF48" s="1">
        <v>11</v>
      </c>
    </row>
    <row r="49" spans="1:58" x14ac:dyDescent="0.3">
      <c r="A49" s="1" t="s">
        <v>7</v>
      </c>
      <c r="B49" s="1">
        <v>107</v>
      </c>
      <c r="G49" s="1">
        <v>77</v>
      </c>
      <c r="H49" s="1">
        <v>7</v>
      </c>
      <c r="M49" s="1">
        <v>63</v>
      </c>
      <c r="N49" s="1">
        <v>7</v>
      </c>
      <c r="S49" s="1">
        <v>14</v>
      </c>
      <c r="T49" s="1">
        <v>7</v>
      </c>
      <c r="AM49" s="1">
        <v>8</v>
      </c>
      <c r="AN49" s="1">
        <v>7</v>
      </c>
    </row>
    <row r="50" spans="1:58" x14ac:dyDescent="0.3">
      <c r="A50" s="1" t="s">
        <v>7</v>
      </c>
      <c r="B50" s="1">
        <v>106</v>
      </c>
      <c r="C50" s="1">
        <v>98</v>
      </c>
      <c r="D50" s="1">
        <v>16</v>
      </c>
      <c r="G50" s="1">
        <v>189</v>
      </c>
      <c r="H50" s="1">
        <v>16</v>
      </c>
      <c r="M50" s="1">
        <v>83</v>
      </c>
      <c r="N50" s="1">
        <v>16</v>
      </c>
      <c r="AC50" s="1">
        <v>54</v>
      </c>
      <c r="AD50" s="1">
        <v>16</v>
      </c>
    </row>
    <row r="51" spans="1:58" x14ac:dyDescent="0.3">
      <c r="A51" s="1" t="s">
        <v>7</v>
      </c>
      <c r="B51" s="1">
        <v>105</v>
      </c>
      <c r="C51" s="1">
        <v>79</v>
      </c>
      <c r="D51" s="1">
        <v>6</v>
      </c>
      <c r="Q51" s="1">
        <v>9</v>
      </c>
      <c r="R51" s="1">
        <v>7</v>
      </c>
      <c r="AA51" s="1">
        <v>13</v>
      </c>
      <c r="AB51" s="1">
        <v>6</v>
      </c>
      <c r="AC51" s="1">
        <v>21</v>
      </c>
      <c r="AD51" s="1">
        <v>6</v>
      </c>
      <c r="BE51" s="1">
        <v>20</v>
      </c>
      <c r="BF51" s="1">
        <v>7</v>
      </c>
    </row>
    <row r="52" spans="1:58" x14ac:dyDescent="0.3">
      <c r="A52" s="1" t="s">
        <v>7</v>
      </c>
      <c r="B52" s="1">
        <v>104</v>
      </c>
      <c r="G52" s="1">
        <v>103</v>
      </c>
      <c r="H52" s="1">
        <v>9</v>
      </c>
      <c r="M52" s="1">
        <v>31</v>
      </c>
      <c r="N52" s="1">
        <v>9</v>
      </c>
      <c r="S52" s="1">
        <v>64</v>
      </c>
      <c r="T52" s="1">
        <v>9</v>
      </c>
      <c r="AA52" s="1">
        <v>62</v>
      </c>
      <c r="AB52" s="1">
        <v>9</v>
      </c>
    </row>
    <row r="53" spans="1:58" x14ac:dyDescent="0.3">
      <c r="A53" s="1" t="s">
        <v>7</v>
      </c>
      <c r="B53" s="1">
        <v>103</v>
      </c>
      <c r="G53" s="1">
        <v>172</v>
      </c>
      <c r="H53" s="1">
        <v>17</v>
      </c>
      <c r="M53" s="1">
        <v>81</v>
      </c>
      <c r="N53" s="1">
        <v>17</v>
      </c>
      <c r="AQ53" s="1">
        <v>55</v>
      </c>
      <c r="AR53" s="1">
        <v>17</v>
      </c>
      <c r="BC53" s="1">
        <v>64</v>
      </c>
      <c r="BD53" s="1">
        <v>17</v>
      </c>
      <c r="BE53" s="1">
        <v>96</v>
      </c>
      <c r="BF53" s="1">
        <v>17</v>
      </c>
    </row>
    <row r="54" spans="1:58" x14ac:dyDescent="0.3">
      <c r="A54" s="1" t="s">
        <v>7</v>
      </c>
      <c r="B54" s="1">
        <v>102</v>
      </c>
      <c r="G54" s="1">
        <v>12</v>
      </c>
      <c r="H54" s="1">
        <v>5</v>
      </c>
      <c r="M54" s="1">
        <v>56</v>
      </c>
      <c r="N54" s="1">
        <v>5</v>
      </c>
      <c r="S54" s="1">
        <v>41</v>
      </c>
      <c r="T54" s="1">
        <v>5</v>
      </c>
      <c r="AQ54" s="1">
        <v>0</v>
      </c>
      <c r="AR54" s="1">
        <v>5</v>
      </c>
    </row>
    <row r="55" spans="1:58" x14ac:dyDescent="0.3">
      <c r="A55" s="1" t="s">
        <v>7</v>
      </c>
      <c r="B55" s="1">
        <v>101</v>
      </c>
      <c r="C55" s="1">
        <v>99</v>
      </c>
      <c r="D55" s="1">
        <v>12</v>
      </c>
      <c r="G55" s="1">
        <v>142</v>
      </c>
      <c r="H55" s="1">
        <v>12</v>
      </c>
      <c r="M55" s="1">
        <v>-30</v>
      </c>
      <c r="N55" s="1">
        <v>12</v>
      </c>
      <c r="AC55" s="1">
        <v>87</v>
      </c>
      <c r="AD55" s="1">
        <v>12</v>
      </c>
      <c r="AI55" s="1">
        <v>50</v>
      </c>
      <c r="AJ55" s="1">
        <v>12</v>
      </c>
    </row>
    <row r="56" spans="1:58" x14ac:dyDescent="0.3">
      <c r="A56" s="1" t="s">
        <v>7</v>
      </c>
      <c r="B56" s="1">
        <v>100</v>
      </c>
      <c r="C56" s="1">
        <v>22</v>
      </c>
      <c r="D56" s="1">
        <v>4</v>
      </c>
      <c r="G56" s="1">
        <v>44</v>
      </c>
      <c r="H56" s="1">
        <v>6</v>
      </c>
      <c r="M56" s="1">
        <v>8</v>
      </c>
      <c r="N56" s="1">
        <v>6</v>
      </c>
      <c r="Q56" s="1">
        <v>58</v>
      </c>
      <c r="R56" s="1">
        <v>6</v>
      </c>
      <c r="AC56" s="1">
        <v>48</v>
      </c>
      <c r="AD56" s="1">
        <v>6</v>
      </c>
      <c r="AE56" s="1" t="s">
        <v>29</v>
      </c>
    </row>
    <row r="57" spans="1:58" x14ac:dyDescent="0.3">
      <c r="A57" s="1" t="s">
        <v>7</v>
      </c>
      <c r="B57" s="1">
        <v>99</v>
      </c>
      <c r="G57" s="1">
        <v>24</v>
      </c>
      <c r="H57" s="1">
        <v>4</v>
      </c>
      <c r="M57" s="1">
        <v>21</v>
      </c>
      <c r="N57" s="1">
        <v>4</v>
      </c>
      <c r="U57" s="1">
        <v>50</v>
      </c>
      <c r="V57" s="1">
        <v>4</v>
      </c>
      <c r="AC57" s="1">
        <v>0</v>
      </c>
      <c r="AD57" s="1">
        <v>4</v>
      </c>
    </row>
    <row r="58" spans="1:58" x14ac:dyDescent="0.3">
      <c r="A58" s="1" t="s">
        <v>7</v>
      </c>
      <c r="B58" s="1">
        <v>98</v>
      </c>
      <c r="G58" s="1">
        <v>50</v>
      </c>
      <c r="H58" s="1">
        <v>5</v>
      </c>
      <c r="M58" s="1">
        <v>49</v>
      </c>
      <c r="N58" s="1">
        <v>5</v>
      </c>
      <c r="U58" s="1">
        <v>22</v>
      </c>
      <c r="V58" s="1">
        <v>5</v>
      </c>
      <c r="AA58" s="1">
        <v>0</v>
      </c>
      <c r="AB58" s="1">
        <v>5</v>
      </c>
    </row>
    <row r="59" spans="1:58" x14ac:dyDescent="0.3">
      <c r="A59" s="1" t="s">
        <v>7</v>
      </c>
      <c r="B59" s="1">
        <v>97</v>
      </c>
      <c r="C59" s="1">
        <v>60</v>
      </c>
      <c r="D59" s="1">
        <v>8</v>
      </c>
      <c r="G59" s="1">
        <v>-4</v>
      </c>
      <c r="H59" s="1">
        <v>8</v>
      </c>
      <c r="Q59" s="1">
        <v>9</v>
      </c>
      <c r="R59" s="1">
        <v>8</v>
      </c>
      <c r="AA59" s="1">
        <v>67</v>
      </c>
      <c r="AB59" s="1">
        <v>8</v>
      </c>
    </row>
    <row r="60" spans="1:58" x14ac:dyDescent="0.3">
      <c r="A60" s="1" t="s">
        <v>7</v>
      </c>
      <c r="B60" s="1">
        <v>96</v>
      </c>
      <c r="C60" s="1">
        <v>59</v>
      </c>
      <c r="D60" s="1">
        <v>4</v>
      </c>
      <c r="G60" s="1">
        <v>48</v>
      </c>
      <c r="H60" s="1">
        <v>4</v>
      </c>
      <c r="Q60" s="1">
        <v>28</v>
      </c>
      <c r="R60" s="1">
        <v>4</v>
      </c>
      <c r="U60" s="1">
        <v>-31</v>
      </c>
      <c r="V60" s="1">
        <v>4</v>
      </c>
    </row>
    <row r="61" spans="1:58" x14ac:dyDescent="0.3">
      <c r="A61" s="1" t="s">
        <v>7</v>
      </c>
      <c r="B61" s="1">
        <v>95</v>
      </c>
      <c r="C61" s="1">
        <v>46</v>
      </c>
      <c r="D61" s="1">
        <v>8</v>
      </c>
      <c r="G61" s="1">
        <v>90</v>
      </c>
      <c r="H61" s="1">
        <v>8</v>
      </c>
      <c r="Q61" s="1">
        <v>58</v>
      </c>
      <c r="R61" s="1">
        <v>8</v>
      </c>
      <c r="AI61" s="1">
        <v>13</v>
      </c>
      <c r="AJ61" s="1">
        <v>8</v>
      </c>
    </row>
    <row r="62" spans="1:58" x14ac:dyDescent="0.3">
      <c r="A62" s="1" t="s">
        <v>7</v>
      </c>
      <c r="B62" s="1">
        <v>94</v>
      </c>
      <c r="C62" s="1">
        <v>30</v>
      </c>
      <c r="D62" s="1">
        <v>8</v>
      </c>
      <c r="G62" s="1">
        <v>62</v>
      </c>
      <c r="H62" s="1">
        <v>8</v>
      </c>
      <c r="K62" s="1">
        <v>86</v>
      </c>
      <c r="L62" s="1">
        <v>8</v>
      </c>
      <c r="M62" s="1">
        <v>0</v>
      </c>
      <c r="N62" s="1">
        <v>8</v>
      </c>
    </row>
    <row r="63" spans="1:58" x14ac:dyDescent="0.3">
      <c r="A63" s="1" t="s">
        <v>7</v>
      </c>
      <c r="B63" s="1">
        <v>93</v>
      </c>
      <c r="G63" s="1">
        <v>130</v>
      </c>
      <c r="H63" s="1">
        <v>20</v>
      </c>
      <c r="M63" s="1">
        <v>108</v>
      </c>
      <c r="N63" s="1">
        <v>20</v>
      </c>
      <c r="U63" s="1">
        <v>99</v>
      </c>
      <c r="V63" s="1">
        <v>20</v>
      </c>
      <c r="AA63" s="1">
        <v>99</v>
      </c>
      <c r="AB63" s="1">
        <v>20</v>
      </c>
    </row>
    <row r="64" spans="1:58" x14ac:dyDescent="0.3">
      <c r="A64" s="1" t="s">
        <v>7</v>
      </c>
      <c r="B64" s="1">
        <v>92</v>
      </c>
      <c r="C64" s="1">
        <v>13</v>
      </c>
      <c r="D64" s="1">
        <v>4</v>
      </c>
      <c r="G64" s="1">
        <v>25</v>
      </c>
      <c r="H64" s="1">
        <v>4</v>
      </c>
      <c r="M64" s="1">
        <v>13</v>
      </c>
      <c r="N64" s="1">
        <v>4</v>
      </c>
      <c r="U64" s="1">
        <v>34</v>
      </c>
      <c r="V64" s="1">
        <v>4</v>
      </c>
    </row>
    <row r="65" spans="1:81" x14ac:dyDescent="0.3">
      <c r="A65" s="1" t="s">
        <v>7</v>
      </c>
      <c r="B65" s="1">
        <v>91</v>
      </c>
      <c r="G65" s="1">
        <v>123</v>
      </c>
      <c r="H65" s="1">
        <v>16</v>
      </c>
      <c r="M65" s="1">
        <v>108</v>
      </c>
      <c r="N65" s="1">
        <v>16</v>
      </c>
      <c r="Q65" s="1">
        <v>122</v>
      </c>
      <c r="R65" s="1">
        <v>16</v>
      </c>
      <c r="AA65" s="1">
        <v>97</v>
      </c>
      <c r="AB65" s="1">
        <v>16</v>
      </c>
      <c r="BV65" s="1" t="s">
        <v>43</v>
      </c>
      <c r="BX65" s="1" t="s">
        <v>53</v>
      </c>
    </row>
    <row r="66" spans="1:81" x14ac:dyDescent="0.3">
      <c r="A66" s="1" t="s">
        <v>7</v>
      </c>
      <c r="B66" s="1">
        <v>90</v>
      </c>
      <c r="C66" s="1">
        <v>62</v>
      </c>
      <c r="D66" s="1">
        <v>12</v>
      </c>
      <c r="G66" s="1">
        <v>39</v>
      </c>
      <c r="H66" s="1">
        <v>12</v>
      </c>
      <c r="M66" s="1">
        <v>98</v>
      </c>
      <c r="N66" s="1">
        <v>12</v>
      </c>
      <c r="U66" s="1">
        <v>42</v>
      </c>
      <c r="V66" s="1">
        <v>12</v>
      </c>
      <c r="BV66" s="1" t="s">
        <v>42</v>
      </c>
    </row>
    <row r="67" spans="1:81" x14ac:dyDescent="0.3">
      <c r="A67" s="1" t="s">
        <v>7</v>
      </c>
      <c r="B67" s="1">
        <v>89</v>
      </c>
      <c r="C67" s="1">
        <v>34</v>
      </c>
      <c r="D67" s="1">
        <v>5</v>
      </c>
      <c r="G67" s="1">
        <v>67</v>
      </c>
      <c r="H67" s="1">
        <v>5</v>
      </c>
      <c r="M67" s="1">
        <v>9</v>
      </c>
      <c r="N67" s="1">
        <v>5</v>
      </c>
      <c r="Q67" s="1">
        <v>14</v>
      </c>
      <c r="R67" s="1">
        <v>5</v>
      </c>
      <c r="BV67" s="1" t="s">
        <v>51</v>
      </c>
      <c r="BW67" s="23"/>
      <c r="BX67" s="1" t="s">
        <v>60</v>
      </c>
      <c r="BY67" s="1" t="s">
        <v>63</v>
      </c>
    </row>
    <row r="68" spans="1:81" x14ac:dyDescent="0.3">
      <c r="A68" s="1" t="s">
        <v>7</v>
      </c>
      <c r="B68" s="1">
        <v>88</v>
      </c>
      <c r="C68" s="1">
        <v>8</v>
      </c>
      <c r="D68" s="1">
        <v>4</v>
      </c>
      <c r="G68" s="1">
        <v>46</v>
      </c>
      <c r="H68" s="1">
        <v>4</v>
      </c>
      <c r="M68" s="1">
        <v>23</v>
      </c>
      <c r="N68" s="1">
        <v>4</v>
      </c>
      <c r="S68" s="1">
        <v>6</v>
      </c>
      <c r="T68" s="1">
        <v>4</v>
      </c>
      <c r="BV68" s="1" t="s">
        <v>52</v>
      </c>
      <c r="BW68" s="24"/>
      <c r="BX68" s="1" t="s">
        <v>61</v>
      </c>
      <c r="BY68" s="1" t="s">
        <v>54</v>
      </c>
    </row>
    <row r="69" spans="1:81" x14ac:dyDescent="0.3">
      <c r="A69" s="1" t="s">
        <v>7</v>
      </c>
      <c r="B69" s="1">
        <v>87</v>
      </c>
      <c r="C69" s="1">
        <v>21</v>
      </c>
      <c r="D69" s="1">
        <v>3</v>
      </c>
      <c r="G69" s="1">
        <v>23</v>
      </c>
      <c r="H69" s="1">
        <v>3</v>
      </c>
      <c r="I69" s="1">
        <v>8</v>
      </c>
      <c r="J69" s="1">
        <v>3</v>
      </c>
      <c r="M69" s="1">
        <v>0</v>
      </c>
      <c r="N69" s="1">
        <v>3</v>
      </c>
      <c r="BV69" s="1" t="s">
        <v>50</v>
      </c>
      <c r="BW69" s="17"/>
      <c r="BX69" s="1" t="s">
        <v>55</v>
      </c>
      <c r="BY69" s="1" t="s">
        <v>64</v>
      </c>
    </row>
    <row r="70" spans="1:81" x14ac:dyDescent="0.3">
      <c r="A70" s="1" t="s">
        <v>7</v>
      </c>
      <c r="B70" s="1">
        <v>86</v>
      </c>
      <c r="C70" s="1">
        <v>0</v>
      </c>
      <c r="D70" s="1">
        <v>4</v>
      </c>
      <c r="G70" s="1">
        <v>37</v>
      </c>
      <c r="H70" s="1">
        <v>4</v>
      </c>
      <c r="I70" s="1">
        <v>25</v>
      </c>
      <c r="J70" s="1">
        <v>4</v>
      </c>
      <c r="K70" s="1">
        <v>62</v>
      </c>
      <c r="L70" s="1">
        <v>4</v>
      </c>
      <c r="BV70" s="1" t="s">
        <v>44</v>
      </c>
      <c r="BW70" s="18"/>
      <c r="BX70" s="1" t="s">
        <v>59</v>
      </c>
      <c r="BY70" s="1" t="s">
        <v>65</v>
      </c>
    </row>
    <row r="71" spans="1:81" x14ac:dyDescent="0.3">
      <c r="A71" s="1" t="s">
        <v>7</v>
      </c>
      <c r="B71" s="1">
        <v>85</v>
      </c>
      <c r="C71" s="1">
        <v>93</v>
      </c>
      <c r="D71" s="1">
        <v>8</v>
      </c>
      <c r="G71" s="1">
        <v>13</v>
      </c>
      <c r="H71" s="1">
        <v>8</v>
      </c>
      <c r="S71" s="1">
        <v>81</v>
      </c>
      <c r="T71" s="1">
        <v>8</v>
      </c>
      <c r="AA71" s="1">
        <v>55</v>
      </c>
      <c r="AB71" s="1">
        <v>8</v>
      </c>
      <c r="BV71" s="1" t="s">
        <v>45</v>
      </c>
      <c r="BW71" s="21"/>
      <c r="BX71" s="1" t="s">
        <v>56</v>
      </c>
      <c r="BY71" s="1" t="s">
        <v>66</v>
      </c>
    </row>
    <row r="72" spans="1:81" x14ac:dyDescent="0.3">
      <c r="A72" s="1" t="s">
        <v>7</v>
      </c>
      <c r="B72" s="1">
        <v>84</v>
      </c>
      <c r="C72" s="1">
        <v>34</v>
      </c>
      <c r="D72" s="1">
        <v>8</v>
      </c>
      <c r="G72" s="1">
        <v>52</v>
      </c>
      <c r="H72" s="1">
        <v>8</v>
      </c>
      <c r="M72" s="1">
        <v>34</v>
      </c>
      <c r="N72" s="1">
        <v>8</v>
      </c>
      <c r="S72" s="1">
        <v>50</v>
      </c>
      <c r="T72" s="1">
        <v>8</v>
      </c>
      <c r="AA72" s="1">
        <v>32</v>
      </c>
      <c r="AB72" s="1">
        <v>8</v>
      </c>
      <c r="BV72" s="1" t="s">
        <v>46</v>
      </c>
      <c r="BW72" s="19"/>
      <c r="BX72" s="1" t="s">
        <v>57</v>
      </c>
      <c r="BY72" s="1" t="s">
        <v>67</v>
      </c>
    </row>
    <row r="73" spans="1:81" x14ac:dyDescent="0.3">
      <c r="A73" s="1" t="s">
        <v>7</v>
      </c>
      <c r="B73" s="1">
        <v>83</v>
      </c>
      <c r="C73" s="1">
        <v>23</v>
      </c>
      <c r="D73" s="1">
        <v>8</v>
      </c>
      <c r="G73" s="1">
        <v>24</v>
      </c>
      <c r="H73" s="1">
        <v>8</v>
      </c>
      <c r="M73" s="1">
        <v>94</v>
      </c>
      <c r="N73" s="1">
        <v>8</v>
      </c>
      <c r="S73" s="1">
        <v>43</v>
      </c>
      <c r="T73" s="1">
        <v>8</v>
      </c>
      <c r="BV73" s="1" t="s">
        <v>47</v>
      </c>
      <c r="BW73" s="20"/>
      <c r="BX73" s="1" t="s">
        <v>58</v>
      </c>
      <c r="BY73" s="1" t="s">
        <v>68</v>
      </c>
    </row>
    <row r="74" spans="1:81" x14ac:dyDescent="0.3">
      <c r="A74" s="1" t="s">
        <v>7</v>
      </c>
      <c r="B74" s="1">
        <v>82</v>
      </c>
      <c r="C74" s="1">
        <v>72</v>
      </c>
      <c r="D74" s="1">
        <v>12</v>
      </c>
      <c r="G74" s="1">
        <v>84</v>
      </c>
      <c r="H74" s="1">
        <v>12</v>
      </c>
      <c r="M74" s="1">
        <v>56</v>
      </c>
      <c r="N74" s="1">
        <v>12</v>
      </c>
      <c r="AI74" s="1">
        <v>32</v>
      </c>
      <c r="AJ74" s="1">
        <v>12</v>
      </c>
      <c r="BV74" s="1" t="s">
        <v>48</v>
      </c>
      <c r="BW74" s="22"/>
      <c r="BX74" s="1" t="s">
        <v>62</v>
      </c>
      <c r="BY74" s="1" t="s">
        <v>69</v>
      </c>
    </row>
    <row r="75" spans="1:81" x14ac:dyDescent="0.3">
      <c r="A75" s="1" t="s">
        <v>7</v>
      </c>
      <c r="B75" s="1">
        <v>81</v>
      </c>
      <c r="C75" s="1">
        <v>29</v>
      </c>
      <c r="D75" s="1">
        <v>5</v>
      </c>
      <c r="E75" s="1">
        <v>33</v>
      </c>
      <c r="F75" s="1">
        <v>6</v>
      </c>
      <c r="G75" s="1">
        <v>30.5</v>
      </c>
      <c r="H75" s="1">
        <v>3</v>
      </c>
      <c r="M75" s="1">
        <v>16</v>
      </c>
      <c r="N75" s="1">
        <v>2</v>
      </c>
      <c r="U75" s="1">
        <v>-20</v>
      </c>
      <c r="V75" s="1">
        <v>5</v>
      </c>
      <c r="AA75" s="1">
        <v>30.5</v>
      </c>
      <c r="AB75" s="1">
        <v>3</v>
      </c>
    </row>
    <row r="76" spans="1:81" x14ac:dyDescent="0.3">
      <c r="A76" s="1" t="s">
        <v>7</v>
      </c>
      <c r="B76" s="1">
        <v>80</v>
      </c>
      <c r="C76" s="1">
        <v>28</v>
      </c>
      <c r="D76" s="1">
        <v>7</v>
      </c>
      <c r="E76" s="1">
        <v>0</v>
      </c>
      <c r="F76" s="1">
        <v>7</v>
      </c>
      <c r="G76" s="1">
        <v>54</v>
      </c>
      <c r="H76" s="1">
        <v>8</v>
      </c>
      <c r="S76" s="1">
        <v>67</v>
      </c>
      <c r="T76" s="1">
        <v>7</v>
      </c>
      <c r="U76" s="1">
        <v>46</v>
      </c>
      <c r="V76" s="1">
        <v>7</v>
      </c>
      <c r="BR76" s="1" t="s">
        <v>8</v>
      </c>
      <c r="BS76" s="1" t="s">
        <v>36</v>
      </c>
      <c r="BT76" s="1" t="s">
        <v>37</v>
      </c>
      <c r="BU76" s="1" t="s">
        <v>42</v>
      </c>
      <c r="BW76" s="1" t="s">
        <v>40</v>
      </c>
      <c r="BX76" s="1" t="s">
        <v>36</v>
      </c>
      <c r="BY76" s="1" t="s">
        <v>41</v>
      </c>
      <c r="BZ76" s="1" t="s">
        <v>42</v>
      </c>
      <c r="CB76" s="1" t="s">
        <v>35</v>
      </c>
    </row>
    <row r="77" spans="1:81" x14ac:dyDescent="0.3">
      <c r="A77" s="1" t="s">
        <v>7</v>
      </c>
      <c r="B77" s="1">
        <v>79</v>
      </c>
      <c r="C77" s="1">
        <v>75</v>
      </c>
      <c r="D77" s="1">
        <v>8</v>
      </c>
      <c r="E77" s="1">
        <v>87</v>
      </c>
      <c r="F77" s="1">
        <v>8</v>
      </c>
      <c r="G77" s="1">
        <v>10</v>
      </c>
      <c r="H77" s="1">
        <v>8</v>
      </c>
      <c r="W77" s="1">
        <v>32</v>
      </c>
      <c r="X77" s="1">
        <v>8</v>
      </c>
    </row>
    <row r="78" spans="1:81" x14ac:dyDescent="0.3">
      <c r="A78" s="1" t="s">
        <v>7</v>
      </c>
      <c r="B78" s="1">
        <v>78</v>
      </c>
      <c r="C78" s="1">
        <v>0</v>
      </c>
      <c r="D78" s="1">
        <v>3</v>
      </c>
      <c r="E78" s="1">
        <v>0</v>
      </c>
      <c r="F78" s="1">
        <v>1</v>
      </c>
      <c r="G78" s="1">
        <v>44</v>
      </c>
      <c r="H78" s="1">
        <v>4</v>
      </c>
      <c r="I78" s="1">
        <v>-14</v>
      </c>
      <c r="J78" s="1">
        <v>2</v>
      </c>
      <c r="M78" s="1">
        <v>33</v>
      </c>
      <c r="N78" s="1">
        <v>4</v>
      </c>
      <c r="W78" s="1">
        <v>-1</v>
      </c>
      <c r="X78" s="1">
        <v>4</v>
      </c>
      <c r="BA78" s="1">
        <v>34</v>
      </c>
      <c r="BB78" s="1">
        <v>2</v>
      </c>
      <c r="BO78" s="2"/>
      <c r="BP78" s="1" t="s">
        <v>30</v>
      </c>
      <c r="BR78" s="1" cm="1">
        <f t="array" ref="BR78:BU97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TEXT(ROUND(INDEX(_xlpm.T,,2),3),"0.000"),
          INDEX(_xlpm.T,,3))
)</f>
        <v>1</v>
      </c>
      <c r="BS78" s="1" t="str">
        <v>Boris</v>
      </c>
      <c r="BT78" s="1" t="str">
        <v>7.177</v>
      </c>
      <c r="BU78" s="1">
        <v>1056</v>
      </c>
      <c r="BW78" s="1" cm="1">
        <f t="array" ref="BW78:BZ85">_xlfn.LET(
  _xlpm.cols_impairs, _xlfn.SEQUENCE(1,COLUMNS(C1:BF1)/2,1,2),
  _xlpm.cols_pairs,   _xlfn.SEQUENCE(1,COLUMNS(C2:BF2)/2,2,2),
  _xlpm.noms,     TRANSPOSE(INDEX(C9:BF9,,_xlpm.cols_impairs)),
  _xlpm.moy,      TRANSPOSE(INDEX(C1:BF1,,_xlpm.cols_impairs)),
  _xlpm.points,   TRANSPOSE(INDEX(C2:BF2,,_xlpm.cols_impairs)),
  _xlpm.parties,  TRANSPOSE(INDEX(C2:BF2,,_xlpm.cols_pairs)),
  _xlpm.ko, NOT(ISNUMBER(_xlpm.moy)),
  _xlpm.nomsK,   _xlfn._xlws.FILTER(_xlpm.noms, _xlpm.ko),
  _xlpm.virtK,   _xlfn._xlws.FILTER(_xlpm.points/_xlpm.parties, _xlpm.ko),
  _xlpm.partK,   _xlfn._xlws.FILTER(_xlpm.parties, _xlpm.ko),
  _xlpm.T, _xlfn._xlws.SORT(CHOOSE({1,2,3}, _xlpm.nomsK, _xlpm.virtK, _xlpm.partK), 2, -1),
  CHOOSE({1,2,3,4},
          _xlfn.SEQUENCE(ROWS(_xlpm.T)),
          INDEX(_xlpm.T,,1),
          TEXT(INDEX(_xlpm.T,,2),"0.000"),
          INDEX(_xlpm.T,,3))
)</f>
        <v>1</v>
      </c>
      <c r="BX78" s="1" t="str">
        <v>Amélie</v>
      </c>
      <c r="BY78" s="1" t="str">
        <v>17.000</v>
      </c>
      <c r="BZ78" s="1">
        <v>2</v>
      </c>
      <c r="CB78" s="1" t="str" cm="1">
        <f t="array" ref="CB78:CC105">_xlfn.LET(  _xlpm.noms, TRANSPOSE(INDEX(C9:BF9,_xlfn.SEQUENCE(1,COLUMNS(C9:BF9)/2,1,2))),_xlpm.moy,  TRANSPOSE(INDEX(C1:BF1,,_xlfn.SEQUENCE(1,COLUMNS(C1:BF1)/2,1,2))),_xlfn.SORTBY(CHOOSE({1,2}, _xlpm.noms, _xlpm.moy), IF(ISNUMBER(_xlpm.moy), _xlpm.moy, -1E+99), -1))</f>
        <v>Boris</v>
      </c>
      <c r="CC78" s="1">
        <v>7.1766098484848486</v>
      </c>
    </row>
    <row r="79" spans="1:81" x14ac:dyDescent="0.3">
      <c r="A79" s="1" t="s">
        <v>24</v>
      </c>
      <c r="B79" s="1">
        <v>77</v>
      </c>
      <c r="G79" s="1">
        <v>135</v>
      </c>
      <c r="H79" s="1">
        <v>12</v>
      </c>
      <c r="M79" s="1">
        <v>142</v>
      </c>
      <c r="N79" s="1">
        <v>12</v>
      </c>
      <c r="U79" s="1">
        <v>-7</v>
      </c>
      <c r="V79" s="1">
        <v>12</v>
      </c>
      <c r="AA79" s="1">
        <v>20</v>
      </c>
      <c r="AB79" s="1">
        <v>8</v>
      </c>
      <c r="BO79" s="3"/>
      <c r="BP79" s="1" t="s">
        <v>31</v>
      </c>
      <c r="BR79" s="1">
        <v>2</v>
      </c>
      <c r="BS79" s="1" t="str">
        <v>Gauthier</v>
      </c>
      <c r="BT79" s="1" t="str">
        <v>6.862</v>
      </c>
      <c r="BU79" s="1">
        <v>87</v>
      </c>
      <c r="BW79" s="1">
        <v>2</v>
      </c>
      <c r="BX79" s="1" t="str">
        <v>Maxime_Ca</v>
      </c>
      <c r="BY79" s="1" t="str">
        <v>8.500</v>
      </c>
      <c r="BZ79" s="1">
        <v>4</v>
      </c>
      <c r="CB79" s="1" t="str">
        <v>Gauthier</v>
      </c>
      <c r="CC79" s="1">
        <v>6.8620689655172411</v>
      </c>
    </row>
    <row r="80" spans="1:81" x14ac:dyDescent="0.3">
      <c r="A80" s="1" t="s">
        <v>24</v>
      </c>
      <c r="B80" s="1">
        <v>76</v>
      </c>
      <c r="C80" s="1">
        <v>-9</v>
      </c>
      <c r="D80" s="1">
        <v>4</v>
      </c>
      <c r="E80" s="1">
        <v>39</v>
      </c>
      <c r="F80" s="1">
        <v>4</v>
      </c>
      <c r="G80" s="1">
        <v>45</v>
      </c>
      <c r="H80" s="1">
        <v>4</v>
      </c>
      <c r="AI80" s="1">
        <v>-3</v>
      </c>
      <c r="AJ80" s="1">
        <v>4</v>
      </c>
      <c r="BO80" s="4"/>
      <c r="BP80" s="1" t="s">
        <v>32</v>
      </c>
      <c r="BR80" s="1">
        <v>3</v>
      </c>
      <c r="BS80" s="1" t="str">
        <v>Célian</v>
      </c>
      <c r="BT80" s="1" t="str">
        <v>6.264</v>
      </c>
      <c r="BU80" s="1">
        <v>296</v>
      </c>
      <c r="BW80" s="1">
        <v>3</v>
      </c>
      <c r="BX80" s="1" t="str">
        <v>Pascale</v>
      </c>
      <c r="BY80" s="1" t="str">
        <v>7.118</v>
      </c>
      <c r="BZ80" s="1">
        <v>17</v>
      </c>
      <c r="CB80" s="1" t="str">
        <v>Célian</v>
      </c>
      <c r="CC80" s="1">
        <v>6.2635135135135132</v>
      </c>
    </row>
    <row r="81" spans="1:81" x14ac:dyDescent="0.3">
      <c r="A81" s="1" t="s">
        <v>22</v>
      </c>
      <c r="B81" s="1">
        <v>75</v>
      </c>
      <c r="C81" s="1">
        <v>20</v>
      </c>
      <c r="D81" s="1">
        <v>4</v>
      </c>
      <c r="G81" s="1">
        <v>58</v>
      </c>
      <c r="H81" s="1">
        <v>4</v>
      </c>
      <c r="U81" s="1">
        <v>-30</v>
      </c>
      <c r="V81" s="1">
        <v>4</v>
      </c>
      <c r="AU81" s="1">
        <v>34</v>
      </c>
      <c r="AV81" s="1">
        <v>4</v>
      </c>
      <c r="BR81" s="1">
        <v>4</v>
      </c>
      <c r="BS81" s="1" t="str">
        <v>William</v>
      </c>
      <c r="BT81" s="1" t="str">
        <v>6.069</v>
      </c>
      <c r="BU81" s="1">
        <v>29</v>
      </c>
      <c r="BW81" s="1">
        <v>4</v>
      </c>
      <c r="BX81" s="1" t="str">
        <v>Harrison</v>
      </c>
      <c r="BY81" s="1" t="str">
        <v>5.400</v>
      </c>
      <c r="BZ81" s="1">
        <v>5</v>
      </c>
      <c r="CB81" s="1" t="str">
        <v>William</v>
      </c>
      <c r="CC81" s="1">
        <v>6.068965517241379</v>
      </c>
    </row>
    <row r="82" spans="1:81" x14ac:dyDescent="0.3">
      <c r="A82" s="1" t="s">
        <v>7</v>
      </c>
      <c r="B82" s="1">
        <v>74</v>
      </c>
      <c r="C82" s="1">
        <v>27</v>
      </c>
      <c r="D82" s="1">
        <v>4</v>
      </c>
      <c r="G82" s="1">
        <v>13</v>
      </c>
      <c r="H82" s="1">
        <v>4</v>
      </c>
      <c r="M82" s="1">
        <v>29</v>
      </c>
      <c r="N82" s="1">
        <v>4</v>
      </c>
      <c r="U82" s="1">
        <v>21</v>
      </c>
      <c r="V82" s="1">
        <v>4</v>
      </c>
      <c r="BO82" s="5"/>
      <c r="BP82" s="1" t="s">
        <v>9</v>
      </c>
      <c r="BR82" s="1">
        <v>5</v>
      </c>
      <c r="BS82" s="1" t="str">
        <v>Tom</v>
      </c>
      <c r="BT82" s="1" t="str">
        <v>5.955</v>
      </c>
      <c r="BU82" s="1">
        <v>247</v>
      </c>
      <c r="BW82" s="1">
        <v>5</v>
      </c>
      <c r="BX82" s="1" t="str">
        <v>Émile</v>
      </c>
      <c r="BY82" s="1" t="str">
        <v>3.308</v>
      </c>
      <c r="BZ82" s="1">
        <v>13</v>
      </c>
      <c r="CB82" s="1" t="str">
        <v>Tom</v>
      </c>
      <c r="CC82" s="1">
        <v>5.9554655870445341</v>
      </c>
    </row>
    <row r="83" spans="1:81" x14ac:dyDescent="0.3">
      <c r="A83" s="1" t="s">
        <v>7</v>
      </c>
      <c r="B83" s="1">
        <v>73</v>
      </c>
      <c r="C83" s="1">
        <v>92</v>
      </c>
      <c r="D83" s="1">
        <v>7</v>
      </c>
      <c r="G83" s="1">
        <v>27</v>
      </c>
      <c r="H83" s="1">
        <v>7</v>
      </c>
      <c r="U83" s="1">
        <v>-5</v>
      </c>
      <c r="V83" s="1">
        <v>7</v>
      </c>
      <c r="AA83" s="1">
        <v>43</v>
      </c>
      <c r="AB83" s="1">
        <v>7</v>
      </c>
      <c r="BO83" s="10"/>
      <c r="BP83" s="1" t="s">
        <v>12</v>
      </c>
      <c r="BR83" s="1">
        <v>6</v>
      </c>
      <c r="BS83" s="1" t="str">
        <v>Samuel</v>
      </c>
      <c r="BT83" s="1" t="str">
        <v>5.910</v>
      </c>
      <c r="BU83" s="1">
        <v>211</v>
      </c>
      <c r="BW83" s="1">
        <v>6</v>
      </c>
      <c r="BX83" s="1" t="str">
        <v>Aurélien</v>
      </c>
      <c r="BY83" s="1" t="str">
        <v>2.800</v>
      </c>
      <c r="BZ83" s="1">
        <v>5</v>
      </c>
      <c r="CB83" s="1" t="str">
        <v>Samuel</v>
      </c>
      <c r="CC83" s="1">
        <v>5.9099526066350707</v>
      </c>
    </row>
    <row r="84" spans="1:81" x14ac:dyDescent="0.3">
      <c r="A84" s="1" t="s">
        <v>7</v>
      </c>
      <c r="B84" s="1">
        <v>72</v>
      </c>
      <c r="C84" s="1">
        <v>11</v>
      </c>
      <c r="D84" s="1">
        <v>1</v>
      </c>
      <c r="G84" s="1">
        <v>11</v>
      </c>
      <c r="H84" s="1">
        <v>1</v>
      </c>
      <c r="M84" s="1">
        <v>-11</v>
      </c>
      <c r="N84" s="1">
        <v>1</v>
      </c>
      <c r="U84" s="1">
        <v>-11</v>
      </c>
      <c r="V84" s="1">
        <v>1</v>
      </c>
      <c r="BO84" s="6"/>
      <c r="BP84" s="1" t="s">
        <v>11</v>
      </c>
      <c r="BR84" s="1">
        <v>7</v>
      </c>
      <c r="BS84" s="1" t="str">
        <v>Joachim</v>
      </c>
      <c r="BT84" s="1" t="str">
        <v>5.890</v>
      </c>
      <c r="BU84" s="1">
        <v>109</v>
      </c>
      <c r="BW84" s="1">
        <v>7</v>
      </c>
      <c r="BX84" s="1" t="str">
        <v>Maxime_Go</v>
      </c>
      <c r="BY84" s="1" t="str">
        <v>0.727</v>
      </c>
      <c r="BZ84" s="1">
        <v>11</v>
      </c>
      <c r="CB84" s="1" t="str">
        <v>Joachim</v>
      </c>
      <c r="CC84" s="1">
        <v>5.8899082568807337</v>
      </c>
    </row>
    <row r="85" spans="1:81" x14ac:dyDescent="0.3">
      <c r="A85" s="1" t="s">
        <v>7</v>
      </c>
      <c r="B85" s="1">
        <v>71</v>
      </c>
      <c r="C85" s="1">
        <v>31</v>
      </c>
      <c r="D85" s="1">
        <v>5</v>
      </c>
      <c r="G85" s="1">
        <v>25</v>
      </c>
      <c r="H85" s="1">
        <v>5</v>
      </c>
      <c r="U85" s="1">
        <v>41</v>
      </c>
      <c r="V85" s="1">
        <v>5</v>
      </c>
      <c r="AW85" s="1">
        <v>14</v>
      </c>
      <c r="AX85" s="1">
        <v>5</v>
      </c>
      <c r="BR85" s="1">
        <v>8</v>
      </c>
      <c r="BS85" s="1" t="str">
        <v>Mehdi</v>
      </c>
      <c r="BT85" s="1" t="str">
        <v>5.770</v>
      </c>
      <c r="BU85" s="1">
        <v>421</v>
      </c>
      <c r="BW85" s="1">
        <v>8</v>
      </c>
      <c r="BX85" s="1" t="str">
        <v>Robin</v>
      </c>
      <c r="BY85" s="1" t="str">
        <v>-0.083</v>
      </c>
      <c r="BZ85" s="1">
        <v>12</v>
      </c>
      <c r="CB85" s="1" t="str">
        <v>Mehdi</v>
      </c>
      <c r="CC85" s="1">
        <v>5.7695961995249405</v>
      </c>
    </row>
    <row r="86" spans="1:81" x14ac:dyDescent="0.3">
      <c r="A86" s="15" t="s">
        <v>7</v>
      </c>
      <c r="B86" s="15">
        <v>70</v>
      </c>
      <c r="C86" s="15">
        <v>79</v>
      </c>
      <c r="D86" s="15">
        <v>16</v>
      </c>
      <c r="E86" s="15">
        <v>99</v>
      </c>
      <c r="F86" s="15">
        <v>16</v>
      </c>
      <c r="G86" s="15">
        <v>139</v>
      </c>
      <c r="H86" s="15">
        <v>16</v>
      </c>
      <c r="I86" s="15"/>
      <c r="J86" s="15"/>
      <c r="K86" s="15"/>
      <c r="L86" s="15"/>
      <c r="M86" s="15">
        <v>4</v>
      </c>
      <c r="N86" s="15">
        <v>4</v>
      </c>
      <c r="O86" s="15"/>
      <c r="P86" s="15"/>
      <c r="Q86" s="15"/>
      <c r="R86" s="15"/>
      <c r="S86" s="15"/>
      <c r="T86" s="15"/>
      <c r="U86" s="15"/>
      <c r="V86" s="15"/>
      <c r="W86" s="15">
        <v>-9</v>
      </c>
      <c r="X86" s="15">
        <v>16</v>
      </c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/>
      <c r="BO86" s="7"/>
      <c r="BP86" s="1" t="s">
        <v>14</v>
      </c>
      <c r="BR86" s="1">
        <v>9</v>
      </c>
      <c r="BS86" s="1" t="str">
        <v>Jules</v>
      </c>
      <c r="BT86" s="1" t="str">
        <v>5.699</v>
      </c>
      <c r="BU86" s="1">
        <v>176</v>
      </c>
      <c r="CB86" s="1" t="str">
        <v>Jules</v>
      </c>
      <c r="CC86" s="1">
        <v>5.6988636363636367</v>
      </c>
    </row>
    <row r="87" spans="1:81" x14ac:dyDescent="0.3">
      <c r="A87" s="15" t="s">
        <v>7</v>
      </c>
      <c r="B87" s="15">
        <v>69</v>
      </c>
      <c r="C87" s="15">
        <v>80</v>
      </c>
      <c r="D87" s="15">
        <v>12</v>
      </c>
      <c r="E87" s="15">
        <v>97</v>
      </c>
      <c r="F87" s="15">
        <v>12</v>
      </c>
      <c r="G87" s="15">
        <v>43</v>
      </c>
      <c r="H87" s="15">
        <v>12</v>
      </c>
      <c r="I87" s="15"/>
      <c r="J87" s="15"/>
      <c r="K87" s="15"/>
      <c r="L87" s="15"/>
      <c r="M87" s="15">
        <v>59</v>
      </c>
      <c r="N87" s="15">
        <v>12</v>
      </c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BO87" s="8"/>
      <c r="BP87" s="1" t="s">
        <v>13</v>
      </c>
      <c r="BR87" s="1">
        <v>10</v>
      </c>
      <c r="BS87" s="1" t="str">
        <v>Achille</v>
      </c>
      <c r="BT87" s="1" t="str">
        <v>5.407</v>
      </c>
      <c r="BU87" s="1">
        <v>829</v>
      </c>
      <c r="CB87" s="1" t="str">
        <v>Achille</v>
      </c>
      <c r="CC87" s="1">
        <v>5.4065138721351023</v>
      </c>
    </row>
    <row r="88" spans="1:81" x14ac:dyDescent="0.3">
      <c r="A88" s="15" t="s">
        <v>7</v>
      </c>
      <c r="B88" s="15">
        <v>68</v>
      </c>
      <c r="C88" s="15">
        <v>50</v>
      </c>
      <c r="D88" s="15">
        <v>8</v>
      </c>
      <c r="E88" s="15">
        <v>39</v>
      </c>
      <c r="F88" s="15">
        <v>8</v>
      </c>
      <c r="G88" s="15">
        <v>64</v>
      </c>
      <c r="H88" s="15">
        <v>8</v>
      </c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>
        <v>6</v>
      </c>
      <c r="T88" s="15">
        <v>8</v>
      </c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BO88" s="9"/>
      <c r="BP88" s="1" t="s">
        <v>10</v>
      </c>
      <c r="BR88" s="1">
        <v>11</v>
      </c>
      <c r="BS88" s="1" t="str">
        <v>Damien</v>
      </c>
      <c r="BT88" s="1" t="str">
        <v>5.366</v>
      </c>
      <c r="BU88" s="1">
        <v>675</v>
      </c>
      <c r="CB88" s="1" t="str">
        <v>Damien</v>
      </c>
      <c r="CC88" s="1">
        <v>5.365925925925926</v>
      </c>
    </row>
    <row r="89" spans="1:81" x14ac:dyDescent="0.3">
      <c r="A89" s="15" t="s">
        <v>7</v>
      </c>
      <c r="B89" s="15">
        <v>67</v>
      </c>
      <c r="C89" s="15">
        <v>19</v>
      </c>
      <c r="D89" s="15">
        <v>3</v>
      </c>
      <c r="E89" s="15"/>
      <c r="F89" s="15"/>
      <c r="G89" s="15">
        <v>8</v>
      </c>
      <c r="H89" s="15">
        <v>3</v>
      </c>
      <c r="I89" s="15">
        <v>19</v>
      </c>
      <c r="J89" s="15">
        <v>3</v>
      </c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>
        <v>8</v>
      </c>
      <c r="AT89" s="15">
        <v>3</v>
      </c>
      <c r="AU89" s="15"/>
      <c r="AV89" s="15"/>
      <c r="AW89" s="15"/>
      <c r="AX89" s="15"/>
      <c r="AY89" s="15"/>
      <c r="BR89" s="1">
        <v>12</v>
      </c>
      <c r="BS89" s="1" t="str">
        <v>Lou</v>
      </c>
      <c r="BT89" s="1" t="str">
        <v>5.315</v>
      </c>
      <c r="BU89" s="1">
        <v>92</v>
      </c>
      <c r="CB89" s="1" t="str">
        <v>Lou</v>
      </c>
      <c r="CC89" s="1">
        <v>5.3152173913043477</v>
      </c>
    </row>
    <row r="90" spans="1:81" x14ac:dyDescent="0.3">
      <c r="A90" s="15" t="s">
        <v>7</v>
      </c>
      <c r="B90" s="15">
        <v>66</v>
      </c>
      <c r="C90" s="15">
        <v>13</v>
      </c>
      <c r="D90" s="15">
        <v>3</v>
      </c>
      <c r="E90" s="15"/>
      <c r="F90" s="15"/>
      <c r="G90" s="15">
        <v>54</v>
      </c>
      <c r="H90" s="15">
        <v>3</v>
      </c>
      <c r="I90" s="15">
        <v>0</v>
      </c>
      <c r="J90" s="15">
        <v>1</v>
      </c>
      <c r="K90" s="15"/>
      <c r="L90" s="15"/>
      <c r="M90" s="15">
        <v>17</v>
      </c>
      <c r="N90" s="15">
        <v>3</v>
      </c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>
        <v>0</v>
      </c>
      <c r="AF90" s="15">
        <v>2</v>
      </c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BO90" s="1" t="s">
        <v>1</v>
      </c>
      <c r="BP90" s="1">
        <f>AVERAGE(C1:BF1)</f>
        <v>5.0964916594941752</v>
      </c>
      <c r="BR90" s="1">
        <v>13</v>
      </c>
      <c r="BS90" s="1" t="str">
        <v>Paul</v>
      </c>
      <c r="BT90" s="1" t="str">
        <v>4.813</v>
      </c>
      <c r="BU90" s="1">
        <v>32</v>
      </c>
      <c r="CB90" s="1" t="str">
        <v>Paul</v>
      </c>
      <c r="CC90" s="1">
        <v>4.8125</v>
      </c>
    </row>
    <row r="91" spans="1:81" x14ac:dyDescent="0.3">
      <c r="A91" s="15" t="s">
        <v>7</v>
      </c>
      <c r="B91" s="15">
        <v>65</v>
      </c>
      <c r="C91" s="15"/>
      <c r="D91" s="15"/>
      <c r="E91" s="15"/>
      <c r="F91" s="15"/>
      <c r="G91" s="15">
        <v>70</v>
      </c>
      <c r="H91" s="15">
        <v>8</v>
      </c>
      <c r="I91" s="15">
        <v>-9</v>
      </c>
      <c r="J91" s="15">
        <v>8</v>
      </c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>
        <v>81</v>
      </c>
      <c r="V91" s="15">
        <v>8</v>
      </c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>
        <v>0</v>
      </c>
      <c r="AT91" s="15">
        <v>8</v>
      </c>
      <c r="AU91" s="15"/>
      <c r="AV91" s="15"/>
      <c r="AW91" s="15"/>
      <c r="AX91" s="15"/>
      <c r="AY91" s="15"/>
      <c r="BR91" s="1">
        <v>14</v>
      </c>
      <c r="BS91" s="1" t="str">
        <v>Joey</v>
      </c>
      <c r="BT91" s="1" t="str">
        <v>4.500</v>
      </c>
      <c r="BU91" s="1">
        <v>86</v>
      </c>
      <c r="CB91" s="1" t="str">
        <v>Joey</v>
      </c>
      <c r="CC91" s="1">
        <v>4.5</v>
      </c>
    </row>
    <row r="92" spans="1:81" x14ac:dyDescent="0.3">
      <c r="A92" s="15" t="s">
        <v>23</v>
      </c>
      <c r="B92" s="15">
        <v>64</v>
      </c>
      <c r="C92" s="15">
        <v>38</v>
      </c>
      <c r="D92" s="15">
        <v>7</v>
      </c>
      <c r="E92" s="15">
        <v>96</v>
      </c>
      <c r="F92" s="15">
        <v>8</v>
      </c>
      <c r="G92" s="15">
        <v>38</v>
      </c>
      <c r="H92" s="15">
        <v>8</v>
      </c>
      <c r="I92" s="15">
        <v>25</v>
      </c>
      <c r="J92" s="15">
        <v>8</v>
      </c>
      <c r="K92" s="15"/>
      <c r="L92" s="15"/>
      <c r="M92" s="15"/>
      <c r="N92" s="15"/>
      <c r="O92" s="15"/>
      <c r="P92" s="15"/>
      <c r="Q92" s="15">
        <v>25</v>
      </c>
      <c r="R92" s="15">
        <v>5</v>
      </c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BR92" s="1">
        <v>15</v>
      </c>
      <c r="BS92" s="1" t="str">
        <v>Stanislas</v>
      </c>
      <c r="BT92" s="1" t="str">
        <v>4.481</v>
      </c>
      <c r="BU92" s="1">
        <v>27</v>
      </c>
      <c r="CB92" s="1" t="str">
        <v>Stanislas</v>
      </c>
      <c r="CC92" s="1">
        <v>4.4814814814814818</v>
      </c>
    </row>
    <row r="93" spans="1:81" x14ac:dyDescent="0.3">
      <c r="A93" s="15" t="s">
        <v>23</v>
      </c>
      <c r="B93" s="15">
        <v>63</v>
      </c>
      <c r="C93" s="15">
        <v>13</v>
      </c>
      <c r="D93" s="15">
        <v>1</v>
      </c>
      <c r="E93" s="15"/>
      <c r="F93" s="15"/>
      <c r="G93" s="15"/>
      <c r="H93" s="15"/>
      <c r="I93" s="15">
        <v>0</v>
      </c>
      <c r="J93" s="15">
        <v>1</v>
      </c>
      <c r="K93" s="15"/>
      <c r="L93" s="15"/>
      <c r="M93" s="15"/>
      <c r="N93" s="15"/>
      <c r="O93" s="15"/>
      <c r="P93" s="15"/>
      <c r="Q93" s="15">
        <v>13</v>
      </c>
      <c r="R93" s="15">
        <v>1</v>
      </c>
      <c r="S93" s="15"/>
      <c r="T93" s="15"/>
      <c r="U93" s="15"/>
      <c r="V93" s="15"/>
      <c r="W93" s="15">
        <v>0</v>
      </c>
      <c r="X93" s="15">
        <v>1</v>
      </c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BP93" s="1" t="s">
        <v>15</v>
      </c>
      <c r="BR93" s="1">
        <v>16</v>
      </c>
      <c r="BS93" s="1" t="str">
        <v>Marie</v>
      </c>
      <c r="BT93" s="1" t="str">
        <v>4.310</v>
      </c>
      <c r="BU93" s="1">
        <v>234</v>
      </c>
      <c r="CB93" s="1" t="str">
        <v>Marie</v>
      </c>
      <c r="CC93" s="1">
        <v>4.3098290598290596</v>
      </c>
    </row>
    <row r="94" spans="1:81" x14ac:dyDescent="0.3">
      <c r="A94" s="15" t="s">
        <v>7</v>
      </c>
      <c r="B94" s="15">
        <v>62</v>
      </c>
      <c r="C94" s="15">
        <v>118</v>
      </c>
      <c r="D94" s="15">
        <v>24</v>
      </c>
      <c r="E94" s="15">
        <v>103</v>
      </c>
      <c r="F94" s="15">
        <v>24</v>
      </c>
      <c r="G94" s="15">
        <v>102</v>
      </c>
      <c r="H94" s="15">
        <v>24</v>
      </c>
      <c r="I94" s="15">
        <v>0</v>
      </c>
      <c r="J94" s="15">
        <v>4</v>
      </c>
      <c r="K94" s="15"/>
      <c r="L94" s="15"/>
      <c r="M94" s="15"/>
      <c r="N94" s="15"/>
      <c r="O94" s="15">
        <v>225</v>
      </c>
      <c r="P94" s="15">
        <v>23</v>
      </c>
      <c r="Q94" s="15"/>
      <c r="R94" s="15"/>
      <c r="S94" s="15"/>
      <c r="T94" s="15"/>
      <c r="U94" s="15"/>
      <c r="V94" s="15"/>
      <c r="W94" s="15">
        <v>11</v>
      </c>
      <c r="X94" s="15">
        <v>1</v>
      </c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BO94" s="11"/>
      <c r="BP94" s="1" t="s">
        <v>38</v>
      </c>
      <c r="BR94" s="1">
        <v>17</v>
      </c>
      <c r="BS94" s="1" t="str">
        <v>Quentin</v>
      </c>
      <c r="BT94" s="1" t="str">
        <v>4.097</v>
      </c>
      <c r="BU94" s="1">
        <v>93</v>
      </c>
      <c r="CB94" s="1" t="str">
        <v>Quentin</v>
      </c>
      <c r="CC94" s="1">
        <v>4.096774193548387</v>
      </c>
    </row>
    <row r="95" spans="1:81" x14ac:dyDescent="0.3">
      <c r="A95" s="15" t="s">
        <v>7</v>
      </c>
      <c r="B95" s="15">
        <v>61</v>
      </c>
      <c r="C95" s="15"/>
      <c r="D95" s="15"/>
      <c r="E95" s="15">
        <v>11</v>
      </c>
      <c r="F95" s="15">
        <v>4</v>
      </c>
      <c r="G95" s="15"/>
      <c r="H95" s="15"/>
      <c r="I95" s="15"/>
      <c r="J95" s="15"/>
      <c r="K95" s="15"/>
      <c r="L95" s="15"/>
      <c r="M95" s="15">
        <v>46</v>
      </c>
      <c r="N95" s="15">
        <v>4</v>
      </c>
      <c r="O95" s="15">
        <v>45</v>
      </c>
      <c r="P95" s="15">
        <v>4</v>
      </c>
      <c r="Q95" s="15">
        <v>0</v>
      </c>
      <c r="R95" s="15">
        <v>4</v>
      </c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BO95" s="14"/>
      <c r="BP95" s="1" t="s">
        <v>17</v>
      </c>
      <c r="BR95" s="1">
        <v>18</v>
      </c>
      <c r="BS95" s="1" t="str">
        <v>Luca</v>
      </c>
      <c r="BT95" s="1" t="str">
        <v>3.011</v>
      </c>
      <c r="BU95" s="1">
        <v>178</v>
      </c>
      <c r="CB95" s="1" t="str">
        <v>Luca</v>
      </c>
      <c r="CC95" s="1">
        <v>3.0112359550561796</v>
      </c>
    </row>
    <row r="96" spans="1:81" x14ac:dyDescent="0.3">
      <c r="A96" s="15" t="s">
        <v>7</v>
      </c>
      <c r="B96" s="15">
        <v>60</v>
      </c>
      <c r="C96" s="15">
        <v>106</v>
      </c>
      <c r="D96" s="15">
        <v>12</v>
      </c>
      <c r="E96" s="15"/>
      <c r="F96" s="15"/>
      <c r="G96" s="15">
        <v>88</v>
      </c>
      <c r="H96" s="15">
        <v>12</v>
      </c>
      <c r="I96" s="15"/>
      <c r="J96" s="15"/>
      <c r="K96" s="15"/>
      <c r="L96" s="15"/>
      <c r="M96" s="15">
        <v>31</v>
      </c>
      <c r="N96" s="15">
        <v>12</v>
      </c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>
        <v>8</v>
      </c>
      <c r="AD96" s="15">
        <v>4</v>
      </c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>
        <v>-1</v>
      </c>
      <c r="AP96" s="15">
        <v>12</v>
      </c>
      <c r="AQ96" s="15"/>
      <c r="AR96" s="15"/>
      <c r="AS96" s="15"/>
      <c r="AT96" s="15"/>
      <c r="AU96" s="15"/>
      <c r="AV96" s="15"/>
      <c r="AW96" s="15"/>
      <c r="AX96" s="15"/>
      <c r="AY96" s="15"/>
      <c r="BO96" s="13"/>
      <c r="BP96" s="1" t="s">
        <v>18</v>
      </c>
      <c r="BR96" s="1">
        <v>19</v>
      </c>
      <c r="BS96" s="1" t="str">
        <v>Fantinne</v>
      </c>
      <c r="BT96" s="1" t="str">
        <v>2.961</v>
      </c>
      <c r="BU96" s="1">
        <v>51</v>
      </c>
      <c r="CB96" s="1" t="str">
        <v>Fantinne</v>
      </c>
      <c r="CC96" s="1">
        <v>2.9607843137254903</v>
      </c>
    </row>
    <row r="97" spans="1:83" x14ac:dyDescent="0.3">
      <c r="A97" s="15" t="s">
        <v>7</v>
      </c>
      <c r="B97" s="15">
        <v>59</v>
      </c>
      <c r="C97" s="15"/>
      <c r="D97" s="15"/>
      <c r="E97" s="15">
        <v>129</v>
      </c>
      <c r="F97" s="15">
        <v>10</v>
      </c>
      <c r="G97" s="15"/>
      <c r="H97" s="15"/>
      <c r="I97" s="15">
        <v>17</v>
      </c>
      <c r="J97" s="15">
        <v>10</v>
      </c>
      <c r="K97" s="15">
        <v>-41</v>
      </c>
      <c r="L97" s="15">
        <v>10</v>
      </c>
      <c r="M97" s="15">
        <v>62</v>
      </c>
      <c r="N97" s="15">
        <v>10</v>
      </c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BO97" s="12"/>
      <c r="BP97" s="1" t="s">
        <v>16</v>
      </c>
      <c r="BR97" s="1">
        <v>20</v>
      </c>
      <c r="BS97" s="1" t="str">
        <v>Loulou</v>
      </c>
      <c r="BT97" s="1" t="str">
        <v>2.075</v>
      </c>
      <c r="BU97" s="1">
        <v>67</v>
      </c>
      <c r="CB97" s="1" t="str">
        <v>Loulou</v>
      </c>
      <c r="CC97" s="1">
        <v>2.0746268656716418</v>
      </c>
    </row>
    <row r="98" spans="1:83" x14ac:dyDescent="0.3">
      <c r="A98" s="15" t="s">
        <v>7</v>
      </c>
      <c r="B98" s="15">
        <v>58</v>
      </c>
      <c r="C98" s="15"/>
      <c r="D98" s="15"/>
      <c r="E98" s="15">
        <v>49</v>
      </c>
      <c r="F98" s="15">
        <v>14</v>
      </c>
      <c r="G98" s="15">
        <v>60</v>
      </c>
      <c r="H98" s="15">
        <v>14</v>
      </c>
      <c r="I98" s="15">
        <v>94</v>
      </c>
      <c r="J98" s="15">
        <v>14</v>
      </c>
      <c r="K98" s="15"/>
      <c r="L98" s="15"/>
      <c r="M98" s="15"/>
      <c r="N98" s="15"/>
      <c r="O98" s="15"/>
      <c r="P98" s="15"/>
      <c r="Q98" s="15">
        <v>70</v>
      </c>
      <c r="R98" s="15">
        <v>14</v>
      </c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CB98" s="1" t="str">
        <v>Harrison</v>
      </c>
      <c r="CC98" s="1" t="str">
        <v>/</v>
      </c>
    </row>
    <row r="99" spans="1:83" x14ac:dyDescent="0.3">
      <c r="A99" s="15" t="s">
        <v>7</v>
      </c>
      <c r="B99" s="15">
        <v>57</v>
      </c>
      <c r="C99" s="15"/>
      <c r="D99" s="15"/>
      <c r="E99" s="15">
        <v>67</v>
      </c>
      <c r="F99" s="15">
        <v>4</v>
      </c>
      <c r="G99" s="15">
        <v>36</v>
      </c>
      <c r="H99" s="15">
        <v>4</v>
      </c>
      <c r="I99" s="15">
        <v>16</v>
      </c>
      <c r="J99" s="15">
        <v>2</v>
      </c>
      <c r="K99" s="15"/>
      <c r="L99" s="15"/>
      <c r="M99" s="15">
        <v>-24</v>
      </c>
      <c r="N99" s="15">
        <v>3</v>
      </c>
      <c r="O99" s="15"/>
      <c r="P99" s="15"/>
      <c r="Q99" s="15">
        <v>31</v>
      </c>
      <c r="R99" s="15">
        <v>3</v>
      </c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CB99" s="1" t="str">
        <v>Pascale</v>
      </c>
      <c r="CC99" s="1" t="str">
        <v>/</v>
      </c>
    </row>
    <row r="100" spans="1:83" x14ac:dyDescent="0.3">
      <c r="A100" s="15" t="s">
        <v>7</v>
      </c>
      <c r="B100" s="15">
        <v>56</v>
      </c>
      <c r="C100" s="15"/>
      <c r="D100" s="15"/>
      <c r="E100" s="15"/>
      <c r="F100" s="15"/>
      <c r="G100" s="15">
        <v>66</v>
      </c>
      <c r="H100" s="15">
        <v>8</v>
      </c>
      <c r="I100" s="15"/>
      <c r="J100" s="15"/>
      <c r="K100" s="15"/>
      <c r="L100" s="15"/>
      <c r="M100" s="15">
        <v>50</v>
      </c>
      <c r="N100" s="15">
        <v>8</v>
      </c>
      <c r="O100" s="15"/>
      <c r="P100" s="15"/>
      <c r="Q100" s="15">
        <v>73</v>
      </c>
      <c r="R100" s="15">
        <v>8</v>
      </c>
      <c r="S100" s="15">
        <v>27</v>
      </c>
      <c r="T100" s="15">
        <v>8</v>
      </c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>
        <v>21</v>
      </c>
      <c r="AN100" s="15">
        <v>8</v>
      </c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CB100" s="1" t="str">
        <v>Robin</v>
      </c>
      <c r="CC100" s="1" t="str">
        <v>/</v>
      </c>
    </row>
    <row r="101" spans="1:83" x14ac:dyDescent="0.3">
      <c r="A101" s="15" t="s">
        <v>25</v>
      </c>
      <c r="B101" s="15" t="s">
        <v>26</v>
      </c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CB101" s="1" t="str">
        <v>Maxime_Go</v>
      </c>
      <c r="CC101" s="1" t="str">
        <v>/</v>
      </c>
    </row>
    <row r="102" spans="1:83" x14ac:dyDescent="0.3">
      <c r="A102" s="15" t="s">
        <v>7</v>
      </c>
      <c r="B102" s="15">
        <v>55</v>
      </c>
      <c r="C102" s="15">
        <v>100</v>
      </c>
      <c r="D102" s="15">
        <v>16</v>
      </c>
      <c r="E102" s="15"/>
      <c r="F102" s="15"/>
      <c r="G102" s="15">
        <v>188</v>
      </c>
      <c r="H102" s="15">
        <v>16</v>
      </c>
      <c r="I102" s="15"/>
      <c r="J102" s="15"/>
      <c r="K102" s="15"/>
      <c r="L102" s="15"/>
      <c r="M102" s="15">
        <v>34</v>
      </c>
      <c r="N102" s="15">
        <v>16</v>
      </c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>
        <v>60</v>
      </c>
      <c r="AR102" s="15">
        <v>16</v>
      </c>
      <c r="AS102" s="15"/>
      <c r="AT102" s="15"/>
      <c r="AU102" s="15"/>
      <c r="AV102" s="15"/>
      <c r="AW102" s="15"/>
      <c r="AX102" s="15"/>
      <c r="AY102" s="15"/>
      <c r="CB102" s="1" t="str">
        <v>Maxime_Ca</v>
      </c>
      <c r="CC102" s="1" t="str">
        <v>/</v>
      </c>
    </row>
    <row r="103" spans="1:83" x14ac:dyDescent="0.3">
      <c r="A103" s="15" t="s">
        <v>7</v>
      </c>
      <c r="B103" s="15">
        <v>54</v>
      </c>
      <c r="C103" s="15">
        <v>23</v>
      </c>
      <c r="D103" s="15">
        <v>5</v>
      </c>
      <c r="E103" s="15">
        <v>29</v>
      </c>
      <c r="F103" s="15">
        <v>6</v>
      </c>
      <c r="G103" s="15">
        <v>25</v>
      </c>
      <c r="H103" s="15">
        <v>5</v>
      </c>
      <c r="I103" s="15">
        <v>42</v>
      </c>
      <c r="J103" s="15">
        <v>6</v>
      </c>
      <c r="K103" s="15"/>
      <c r="L103" s="15"/>
      <c r="M103" s="15">
        <v>-14</v>
      </c>
      <c r="N103" s="15">
        <v>2</v>
      </c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CB103" s="1" t="str">
        <v>Aurélien</v>
      </c>
      <c r="CC103" s="1" t="str">
        <v>/</v>
      </c>
    </row>
    <row r="104" spans="1:83" x14ac:dyDescent="0.3">
      <c r="A104" s="15" t="s">
        <v>7</v>
      </c>
      <c r="B104" s="15">
        <v>53</v>
      </c>
      <c r="C104" s="15">
        <v>45</v>
      </c>
      <c r="D104" s="15">
        <v>8</v>
      </c>
      <c r="E104" s="15"/>
      <c r="F104" s="15"/>
      <c r="G104" s="15">
        <v>68</v>
      </c>
      <c r="H104" s="15">
        <v>8</v>
      </c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>
        <v>-4</v>
      </c>
      <c r="AB104" s="15">
        <v>8</v>
      </c>
      <c r="AC104" s="15"/>
      <c r="AD104" s="15"/>
      <c r="AE104" s="15"/>
      <c r="AF104" s="15"/>
      <c r="AG104" s="15">
        <v>91</v>
      </c>
      <c r="AH104" s="15">
        <v>8</v>
      </c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CB104" s="1" t="str">
        <v>Émile</v>
      </c>
      <c r="CC104" s="1" t="str">
        <v>/</v>
      </c>
    </row>
    <row r="105" spans="1:83" x14ac:dyDescent="0.3">
      <c r="A105" s="15" t="s">
        <v>7</v>
      </c>
      <c r="B105" s="15">
        <v>52</v>
      </c>
      <c r="C105" s="15"/>
      <c r="D105" s="15"/>
      <c r="E105" s="15"/>
      <c r="F105" s="15"/>
      <c r="G105" s="15">
        <v>94</v>
      </c>
      <c r="H105" s="15">
        <v>16</v>
      </c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>
        <v>42</v>
      </c>
      <c r="V105" s="15">
        <v>16</v>
      </c>
      <c r="W105" s="15"/>
      <c r="X105" s="15"/>
      <c r="Y105" s="15"/>
      <c r="Z105" s="15"/>
      <c r="AA105" s="15">
        <v>75</v>
      </c>
      <c r="AB105" s="15">
        <v>16</v>
      </c>
      <c r="AC105" s="15"/>
      <c r="AD105" s="15"/>
      <c r="AE105" s="15"/>
      <c r="AF105" s="15"/>
      <c r="AG105" s="15">
        <v>64</v>
      </c>
      <c r="AH105" s="15">
        <v>16</v>
      </c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CB105" s="1" t="str">
        <v>Amélie</v>
      </c>
      <c r="CC105" s="1" t="str">
        <v>/</v>
      </c>
    </row>
    <row r="106" spans="1:83" x14ac:dyDescent="0.3">
      <c r="A106" s="15" t="s">
        <v>7</v>
      </c>
      <c r="B106" s="15">
        <v>51</v>
      </c>
      <c r="C106" s="15">
        <v>37</v>
      </c>
      <c r="D106" s="15">
        <v>14</v>
      </c>
      <c r="E106" s="15"/>
      <c r="F106" s="15"/>
      <c r="G106" s="15">
        <v>105</v>
      </c>
      <c r="H106" s="15">
        <v>14</v>
      </c>
      <c r="I106" s="15"/>
      <c r="J106" s="15"/>
      <c r="K106" s="15"/>
      <c r="L106" s="15"/>
      <c r="M106" s="15">
        <v>84</v>
      </c>
      <c r="N106" s="15">
        <v>14</v>
      </c>
      <c r="O106" s="15"/>
      <c r="P106" s="15"/>
      <c r="Q106" s="15"/>
      <c r="R106" s="15"/>
      <c r="S106" s="15">
        <v>91</v>
      </c>
      <c r="T106" s="15">
        <v>14</v>
      </c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</row>
    <row r="107" spans="1:83" x14ac:dyDescent="0.3">
      <c r="A107" s="15" t="s">
        <v>7</v>
      </c>
      <c r="B107" s="15">
        <v>50</v>
      </c>
      <c r="C107" s="15">
        <v>32</v>
      </c>
      <c r="D107" s="15">
        <v>7</v>
      </c>
      <c r="E107" s="15"/>
      <c r="F107" s="15"/>
      <c r="G107" s="15">
        <v>50</v>
      </c>
      <c r="H107" s="15">
        <v>7</v>
      </c>
      <c r="I107" s="15"/>
      <c r="J107" s="15"/>
      <c r="K107" s="15"/>
      <c r="L107" s="15"/>
      <c r="M107" s="15">
        <v>40</v>
      </c>
      <c r="N107" s="15">
        <v>7</v>
      </c>
      <c r="O107" s="15"/>
      <c r="P107" s="15"/>
      <c r="Q107" s="15"/>
      <c r="R107" s="15"/>
      <c r="S107" s="15">
        <v>38</v>
      </c>
      <c r="T107" s="15">
        <v>7</v>
      </c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</row>
    <row r="108" spans="1:83" x14ac:dyDescent="0.3">
      <c r="A108" s="15" t="s">
        <v>7</v>
      </c>
      <c r="B108" s="15">
        <v>49</v>
      </c>
      <c r="C108" s="15">
        <v>47</v>
      </c>
      <c r="D108" s="15">
        <v>9</v>
      </c>
      <c r="E108" s="15"/>
      <c r="F108" s="15"/>
      <c r="G108" s="15">
        <v>94</v>
      </c>
      <c r="H108" s="15">
        <v>9</v>
      </c>
      <c r="I108" s="15"/>
      <c r="J108" s="15"/>
      <c r="K108" s="15">
        <v>13</v>
      </c>
      <c r="L108" s="15">
        <v>2</v>
      </c>
      <c r="M108" s="15">
        <v>47</v>
      </c>
      <c r="N108" s="15">
        <v>7</v>
      </c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>
        <v>14</v>
      </c>
      <c r="AB108" s="15">
        <v>9</v>
      </c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</row>
    <row r="109" spans="1:83" x14ac:dyDescent="0.3">
      <c r="A109" s="15" t="s">
        <v>7</v>
      </c>
      <c r="B109" s="15">
        <v>48</v>
      </c>
      <c r="C109" s="15">
        <v>90</v>
      </c>
      <c r="D109" s="15">
        <v>7</v>
      </c>
      <c r="E109" s="15"/>
      <c r="F109" s="15"/>
      <c r="G109" s="15">
        <v>48</v>
      </c>
      <c r="H109" s="15">
        <v>7</v>
      </c>
      <c r="I109" s="15"/>
      <c r="J109" s="15"/>
      <c r="K109" s="15"/>
      <c r="L109" s="15"/>
      <c r="M109" s="15">
        <v>1</v>
      </c>
      <c r="N109" s="15">
        <v>7</v>
      </c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>
        <v>-4</v>
      </c>
      <c r="AB109" s="15">
        <v>7</v>
      </c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</row>
    <row r="110" spans="1:83" x14ac:dyDescent="0.3">
      <c r="A110" s="15" t="s">
        <v>7</v>
      </c>
      <c r="B110" s="15">
        <v>47</v>
      </c>
      <c r="C110" s="15">
        <v>87</v>
      </c>
      <c r="D110" s="15">
        <v>5</v>
      </c>
      <c r="E110" s="15"/>
      <c r="F110" s="15"/>
      <c r="G110" s="15">
        <v>11</v>
      </c>
      <c r="H110" s="15">
        <v>5</v>
      </c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>
        <v>21</v>
      </c>
      <c r="V110" s="15">
        <v>5</v>
      </c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>
        <v>21</v>
      </c>
      <c r="AH110" s="15">
        <v>5</v>
      </c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CB110" s="1" cm="1">
        <f t="array" ref="CB110:CE129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ROUND(INDEX(_xlpm.T,,2), 3),
          INDEX(_xlpm.T,,3))
)</f>
        <v>1</v>
      </c>
      <c r="CC110" s="1" t="str">
        <v>Boris</v>
      </c>
      <c r="CD110" s="1">
        <v>7.1769999999999996</v>
      </c>
      <c r="CE110" s="1">
        <v>1056</v>
      </c>
    </row>
    <row r="111" spans="1:83" x14ac:dyDescent="0.3">
      <c r="A111" s="15" t="s">
        <v>7</v>
      </c>
      <c r="B111" s="15">
        <v>46</v>
      </c>
      <c r="C111" s="15">
        <v>29</v>
      </c>
      <c r="D111" s="15">
        <v>12</v>
      </c>
      <c r="E111" s="15"/>
      <c r="F111" s="15"/>
      <c r="G111" s="15">
        <v>78</v>
      </c>
      <c r="H111" s="15">
        <v>13</v>
      </c>
      <c r="I111" s="15"/>
      <c r="J111" s="15"/>
      <c r="K111" s="15">
        <v>93</v>
      </c>
      <c r="L111" s="15">
        <v>12</v>
      </c>
      <c r="M111" s="15">
        <v>32</v>
      </c>
      <c r="N111" s="15">
        <v>11</v>
      </c>
      <c r="O111" s="15"/>
      <c r="P111" s="15"/>
      <c r="Q111" s="15"/>
      <c r="R111" s="15"/>
      <c r="S111" s="15">
        <v>119</v>
      </c>
      <c r="T111" s="15">
        <v>12</v>
      </c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CB111" s="1">
        <v>2</v>
      </c>
      <c r="CC111" s="1" t="str">
        <v>Gauthier</v>
      </c>
      <c r="CD111" s="1">
        <v>6.8620000000000001</v>
      </c>
      <c r="CE111" s="1">
        <v>87</v>
      </c>
    </row>
    <row r="112" spans="1:83" x14ac:dyDescent="0.3">
      <c r="A112" s="15" t="s">
        <v>7</v>
      </c>
      <c r="B112" s="15">
        <v>45</v>
      </c>
      <c r="C112" s="15">
        <v>102</v>
      </c>
      <c r="D112" s="15">
        <v>16</v>
      </c>
      <c r="E112" s="15"/>
      <c r="F112" s="15"/>
      <c r="G112" s="15">
        <v>138</v>
      </c>
      <c r="H112" s="15">
        <v>16</v>
      </c>
      <c r="I112" s="15"/>
      <c r="J112" s="15"/>
      <c r="K112" s="15">
        <v>51</v>
      </c>
      <c r="L112" s="15">
        <v>8</v>
      </c>
      <c r="M112" s="15">
        <v>5</v>
      </c>
      <c r="N112" s="15">
        <v>8</v>
      </c>
      <c r="O112" s="15"/>
      <c r="P112" s="15"/>
      <c r="Q112" s="15"/>
      <c r="R112" s="15"/>
      <c r="S112" s="15">
        <v>116</v>
      </c>
      <c r="T112" s="15">
        <v>16</v>
      </c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CB112" s="1">
        <v>3</v>
      </c>
      <c r="CC112" s="1" t="str">
        <v>Célian</v>
      </c>
      <c r="CD112" s="1">
        <v>6.2640000000000002</v>
      </c>
      <c r="CE112" s="1">
        <v>296</v>
      </c>
    </row>
    <row r="113" spans="1:83" x14ac:dyDescent="0.3">
      <c r="A113" s="15" t="s">
        <v>7</v>
      </c>
      <c r="B113" s="15">
        <v>44</v>
      </c>
      <c r="C113" s="15">
        <v>104</v>
      </c>
      <c r="D113" s="15">
        <v>20</v>
      </c>
      <c r="E113" s="15">
        <v>119</v>
      </c>
      <c r="F113" s="15">
        <v>20</v>
      </c>
      <c r="G113" s="15">
        <v>128</v>
      </c>
      <c r="H113" s="15">
        <v>20</v>
      </c>
      <c r="I113" s="15"/>
      <c r="J113" s="15"/>
      <c r="K113" s="15"/>
      <c r="L113" s="15"/>
      <c r="M113" s="15"/>
      <c r="N113" s="15"/>
      <c r="O113" s="15"/>
      <c r="P113" s="15"/>
      <c r="Q113" s="15">
        <v>143</v>
      </c>
      <c r="R113" s="15">
        <v>20</v>
      </c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CB113" s="1">
        <v>4</v>
      </c>
      <c r="CC113" s="1" t="str">
        <v>William</v>
      </c>
      <c r="CD113" s="1">
        <v>6.069</v>
      </c>
      <c r="CE113" s="1">
        <v>29</v>
      </c>
    </row>
    <row r="114" spans="1:83" x14ac:dyDescent="0.3">
      <c r="A114" s="15" t="s">
        <v>7</v>
      </c>
      <c r="B114" s="15">
        <v>43</v>
      </c>
      <c r="C114" s="15">
        <v>-16</v>
      </c>
      <c r="D114" s="15">
        <v>9</v>
      </c>
      <c r="E114" s="15"/>
      <c r="F114" s="15"/>
      <c r="G114" s="15">
        <v>94</v>
      </c>
      <c r="H114" s="15">
        <v>9</v>
      </c>
      <c r="I114" s="15"/>
      <c r="J114" s="15"/>
      <c r="K114" s="15"/>
      <c r="L114" s="15"/>
      <c r="M114" s="15">
        <v>58</v>
      </c>
      <c r="N114" s="15">
        <v>9</v>
      </c>
      <c r="O114" s="15"/>
      <c r="P114" s="15"/>
      <c r="Q114" s="15"/>
      <c r="R114" s="15"/>
      <c r="S114" s="15">
        <v>66</v>
      </c>
      <c r="T114" s="15">
        <v>9</v>
      </c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CB114" s="1">
        <v>5</v>
      </c>
      <c r="CC114" s="1" t="str">
        <v>Tom</v>
      </c>
      <c r="CD114" s="1">
        <v>5.9550000000000001</v>
      </c>
      <c r="CE114" s="1">
        <v>247</v>
      </c>
    </row>
    <row r="115" spans="1:83" x14ac:dyDescent="0.3">
      <c r="A115" s="15" t="s">
        <v>7</v>
      </c>
      <c r="B115" s="15">
        <v>42</v>
      </c>
      <c r="C115" s="15">
        <v>63</v>
      </c>
      <c r="D115" s="15">
        <v>13</v>
      </c>
      <c r="E115" s="15">
        <v>89</v>
      </c>
      <c r="F115" s="15">
        <v>13</v>
      </c>
      <c r="G115" s="15">
        <v>43</v>
      </c>
      <c r="H115" s="15">
        <v>13</v>
      </c>
      <c r="I115" s="15"/>
      <c r="J115" s="15"/>
      <c r="K115" s="15"/>
      <c r="L115" s="15"/>
      <c r="M115" s="15"/>
      <c r="N115" s="15"/>
      <c r="O115" s="15"/>
      <c r="P115" s="15"/>
      <c r="Q115" s="15">
        <v>60</v>
      </c>
      <c r="R115" s="15">
        <v>13</v>
      </c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CB115" s="1">
        <v>6</v>
      </c>
      <c r="CC115" s="1" t="str">
        <v>Samuel</v>
      </c>
      <c r="CD115" s="1">
        <v>5.91</v>
      </c>
      <c r="CE115" s="1">
        <v>211</v>
      </c>
    </row>
    <row r="116" spans="1:83" x14ac:dyDescent="0.3">
      <c r="A116" s="15" t="s">
        <v>7</v>
      </c>
      <c r="B116" s="15">
        <v>41</v>
      </c>
      <c r="C116" s="15">
        <v>16</v>
      </c>
      <c r="D116" s="15">
        <v>6</v>
      </c>
      <c r="E116" s="15">
        <v>16</v>
      </c>
      <c r="F116" s="15">
        <v>6</v>
      </c>
      <c r="G116" s="15">
        <v>21</v>
      </c>
      <c r="H116" s="15">
        <v>6</v>
      </c>
      <c r="I116" s="15">
        <v>40</v>
      </c>
      <c r="J116" s="15">
        <v>6</v>
      </c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CB116" s="1">
        <v>7</v>
      </c>
      <c r="CC116" s="1" t="str">
        <v>Joachim</v>
      </c>
      <c r="CD116" s="1">
        <v>5.89</v>
      </c>
      <c r="CE116" s="1">
        <v>109</v>
      </c>
    </row>
    <row r="117" spans="1:83" x14ac:dyDescent="0.3">
      <c r="A117" s="15" t="s">
        <v>7</v>
      </c>
      <c r="B117" s="15">
        <v>40</v>
      </c>
      <c r="C117" s="15">
        <v>58</v>
      </c>
      <c r="D117" s="15">
        <v>8</v>
      </c>
      <c r="E117" s="15">
        <v>22</v>
      </c>
      <c r="F117" s="15">
        <v>8</v>
      </c>
      <c r="G117" s="15">
        <v>62</v>
      </c>
      <c r="H117" s="15">
        <v>8</v>
      </c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>
        <v>16</v>
      </c>
      <c r="AD117" s="15">
        <v>8</v>
      </c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>
        <v>22</v>
      </c>
      <c r="AZ117" s="15">
        <v>8</v>
      </c>
      <c r="CB117" s="1">
        <v>8</v>
      </c>
      <c r="CC117" s="1" t="str">
        <v>Mehdi</v>
      </c>
      <c r="CD117" s="1">
        <v>5.77</v>
      </c>
      <c r="CE117" s="1">
        <v>421</v>
      </c>
    </row>
    <row r="118" spans="1:83" x14ac:dyDescent="0.3">
      <c r="A118" s="15" t="s">
        <v>7</v>
      </c>
      <c r="B118" s="15">
        <v>39</v>
      </c>
      <c r="C118" s="15">
        <v>38</v>
      </c>
      <c r="D118" s="15">
        <v>4</v>
      </c>
      <c r="E118" s="15">
        <v>46</v>
      </c>
      <c r="F118" s="15">
        <v>4</v>
      </c>
      <c r="G118" s="15">
        <v>-14</v>
      </c>
      <c r="H118" s="15">
        <v>3</v>
      </c>
      <c r="I118" s="15">
        <v>38</v>
      </c>
      <c r="J118" s="15">
        <v>4</v>
      </c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>
        <v>0</v>
      </c>
      <c r="AF118" s="15">
        <v>1</v>
      </c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CB118" s="1">
        <v>9</v>
      </c>
      <c r="CC118" s="1" t="str">
        <v>Jules</v>
      </c>
      <c r="CD118" s="1">
        <v>5.6989999999999998</v>
      </c>
      <c r="CE118" s="1">
        <v>176</v>
      </c>
    </row>
    <row r="119" spans="1:83" x14ac:dyDescent="0.3">
      <c r="A119" s="15" t="s">
        <v>7</v>
      </c>
      <c r="B119" s="15">
        <v>38</v>
      </c>
      <c r="C119" s="15">
        <v>47</v>
      </c>
      <c r="D119" s="15">
        <v>8</v>
      </c>
      <c r="E119" s="15"/>
      <c r="F119" s="15"/>
      <c r="G119" s="15">
        <v>46</v>
      </c>
      <c r="H119" s="15">
        <v>8</v>
      </c>
      <c r="I119" s="15"/>
      <c r="J119" s="15"/>
      <c r="K119" s="15">
        <v>65</v>
      </c>
      <c r="L119" s="15">
        <v>8</v>
      </c>
      <c r="M119" s="15"/>
      <c r="N119" s="15"/>
      <c r="O119" s="15">
        <v>47</v>
      </c>
      <c r="P119" s="15">
        <v>8</v>
      </c>
      <c r="Q119" s="15"/>
      <c r="R119" s="15"/>
      <c r="S119" s="15"/>
      <c r="T119" s="15"/>
      <c r="U119" s="15"/>
      <c r="V119" s="15"/>
      <c r="W119" s="15">
        <v>-8</v>
      </c>
      <c r="X119" s="15">
        <v>8</v>
      </c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CB119" s="1">
        <v>10</v>
      </c>
      <c r="CC119" s="1" t="str">
        <v>Achille</v>
      </c>
      <c r="CD119" s="1">
        <v>5.407</v>
      </c>
      <c r="CE119" s="1">
        <v>829</v>
      </c>
    </row>
    <row r="120" spans="1:83" x14ac:dyDescent="0.3">
      <c r="A120" s="15" t="s">
        <v>7</v>
      </c>
      <c r="B120" s="15">
        <v>37</v>
      </c>
      <c r="C120" s="15">
        <v>128</v>
      </c>
      <c r="D120" s="15">
        <v>20</v>
      </c>
      <c r="E120" s="15"/>
      <c r="F120" s="15"/>
      <c r="G120" s="15">
        <v>152</v>
      </c>
      <c r="H120" s="15">
        <v>20</v>
      </c>
      <c r="I120" s="15"/>
      <c r="J120" s="15"/>
      <c r="K120" s="15"/>
      <c r="L120" s="15"/>
      <c r="M120" s="15">
        <v>94</v>
      </c>
      <c r="N120" s="15">
        <v>20</v>
      </c>
      <c r="O120" s="15"/>
      <c r="P120" s="15"/>
      <c r="Q120" s="15">
        <v>121</v>
      </c>
      <c r="R120" s="15">
        <v>20</v>
      </c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CB120" s="1">
        <v>11</v>
      </c>
      <c r="CC120" s="1" t="str">
        <v>Damien</v>
      </c>
      <c r="CD120" s="1">
        <v>5.3659999999999997</v>
      </c>
      <c r="CE120" s="1">
        <v>675</v>
      </c>
    </row>
    <row r="121" spans="1:83" x14ac:dyDescent="0.3">
      <c r="A121" s="15" t="s">
        <v>7</v>
      </c>
      <c r="B121" s="15">
        <v>36</v>
      </c>
      <c r="C121" s="15">
        <v>68</v>
      </c>
      <c r="D121" s="15">
        <v>12</v>
      </c>
      <c r="E121" s="15">
        <v>45</v>
      </c>
      <c r="F121" s="15">
        <v>12</v>
      </c>
      <c r="G121" s="15"/>
      <c r="H121" s="15"/>
      <c r="I121" s="15"/>
      <c r="J121" s="15"/>
      <c r="K121" s="15">
        <v>49</v>
      </c>
      <c r="L121" s="15">
        <v>12</v>
      </c>
      <c r="M121" s="15">
        <v>98</v>
      </c>
      <c r="N121" s="15">
        <v>12</v>
      </c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  <c r="CB121" s="1">
        <v>12</v>
      </c>
      <c r="CC121" s="1" t="str">
        <v>Lou</v>
      </c>
      <c r="CD121" s="1">
        <v>5.3150000000000004</v>
      </c>
      <c r="CE121" s="1">
        <v>92</v>
      </c>
    </row>
    <row r="122" spans="1:83" x14ac:dyDescent="0.3">
      <c r="A122" s="15" t="s">
        <v>7</v>
      </c>
      <c r="B122" s="15">
        <v>35</v>
      </c>
      <c r="C122" s="15">
        <v>43</v>
      </c>
      <c r="D122" s="15">
        <v>12</v>
      </c>
      <c r="E122" s="15">
        <v>75</v>
      </c>
      <c r="F122" s="15">
        <v>12</v>
      </c>
      <c r="G122" s="15">
        <v>74</v>
      </c>
      <c r="H122" s="15">
        <v>12</v>
      </c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CB122" s="1">
        <v>13</v>
      </c>
      <c r="CC122" s="1" t="str">
        <v>Paul</v>
      </c>
      <c r="CD122" s="1">
        <v>4.8129999999999997</v>
      </c>
      <c r="CE122" s="1">
        <v>32</v>
      </c>
    </row>
    <row r="123" spans="1:83" x14ac:dyDescent="0.3">
      <c r="A123" s="15" t="s">
        <v>7</v>
      </c>
      <c r="B123" s="15">
        <v>34</v>
      </c>
      <c r="C123" s="15"/>
      <c r="D123" s="15"/>
      <c r="E123" s="15">
        <v>24</v>
      </c>
      <c r="F123" s="15">
        <v>4</v>
      </c>
      <c r="G123" s="15">
        <v>27</v>
      </c>
      <c r="H123" s="15">
        <v>4</v>
      </c>
      <c r="I123" s="15"/>
      <c r="J123" s="15"/>
      <c r="K123" s="15"/>
      <c r="L123" s="15"/>
      <c r="M123" s="15">
        <v>-32</v>
      </c>
      <c r="N123" s="15">
        <v>4</v>
      </c>
      <c r="O123" s="15"/>
      <c r="P123" s="15"/>
      <c r="Q123" s="15">
        <v>68</v>
      </c>
      <c r="R123" s="15">
        <v>12</v>
      </c>
      <c r="S123" s="15">
        <v>56</v>
      </c>
      <c r="T123" s="15">
        <v>4</v>
      </c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  <c r="CB123" s="1">
        <v>14</v>
      </c>
      <c r="CC123" s="1" t="str">
        <v>Joey</v>
      </c>
      <c r="CD123" s="1">
        <v>4.5</v>
      </c>
      <c r="CE123" s="1">
        <v>86</v>
      </c>
    </row>
    <row r="124" spans="1:83" x14ac:dyDescent="0.3">
      <c r="A124" s="15" t="s">
        <v>7</v>
      </c>
      <c r="B124" s="15">
        <v>33</v>
      </c>
      <c r="C124" s="15">
        <v>11</v>
      </c>
      <c r="D124" s="15">
        <v>2</v>
      </c>
      <c r="E124" s="15"/>
      <c r="F124" s="15"/>
      <c r="G124" s="15">
        <v>11</v>
      </c>
      <c r="H124" s="15">
        <v>2</v>
      </c>
      <c r="I124" s="15">
        <v>13</v>
      </c>
      <c r="J124" s="15">
        <v>2</v>
      </c>
      <c r="K124" s="15"/>
      <c r="L124" s="15"/>
      <c r="M124" s="15"/>
      <c r="N124" s="15"/>
      <c r="O124" s="15"/>
      <c r="P124" s="15"/>
      <c r="Q124" s="15"/>
      <c r="R124" s="15"/>
      <c r="S124" s="15">
        <v>13</v>
      </c>
      <c r="T124" s="15">
        <v>2</v>
      </c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6"/>
      <c r="AQ124" s="15"/>
      <c r="AR124" s="15"/>
      <c r="AS124" s="15"/>
      <c r="AT124" s="15"/>
      <c r="AU124" s="15"/>
      <c r="AV124" s="15"/>
      <c r="AW124" s="15"/>
      <c r="AX124" s="15"/>
      <c r="AY124" s="15"/>
      <c r="CB124" s="1">
        <v>15</v>
      </c>
      <c r="CC124" s="1" t="str">
        <v>Stanislas</v>
      </c>
      <c r="CD124" s="1">
        <v>4.4809999999999999</v>
      </c>
      <c r="CE124" s="1">
        <v>27</v>
      </c>
    </row>
    <row r="125" spans="1:83" x14ac:dyDescent="0.3">
      <c r="A125" s="15" t="s">
        <v>7</v>
      </c>
      <c r="B125" s="15">
        <v>32</v>
      </c>
      <c r="C125" s="15">
        <v>14</v>
      </c>
      <c r="D125" s="15">
        <v>11</v>
      </c>
      <c r="E125" s="15"/>
      <c r="F125" s="15"/>
      <c r="G125" s="15">
        <v>105</v>
      </c>
      <c r="H125" s="15">
        <v>11</v>
      </c>
      <c r="I125" s="15">
        <v>81</v>
      </c>
      <c r="J125" s="15">
        <v>11</v>
      </c>
      <c r="K125" s="15">
        <v>61</v>
      </c>
      <c r="L125" s="15">
        <v>11</v>
      </c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  <c r="CB125" s="1">
        <v>16</v>
      </c>
      <c r="CC125" s="1" t="str">
        <v>Marie</v>
      </c>
      <c r="CD125" s="1">
        <v>4.3099999999999996</v>
      </c>
      <c r="CE125" s="1">
        <v>234</v>
      </c>
    </row>
    <row r="126" spans="1:83" x14ac:dyDescent="0.3">
      <c r="A126" s="15" t="s">
        <v>7</v>
      </c>
      <c r="B126" s="15">
        <v>31</v>
      </c>
      <c r="C126" s="15">
        <v>40</v>
      </c>
      <c r="D126" s="15">
        <v>4</v>
      </c>
      <c r="E126" s="15"/>
      <c r="F126" s="15"/>
      <c r="G126" s="15">
        <v>1</v>
      </c>
      <c r="H126" s="15">
        <v>4</v>
      </c>
      <c r="I126" s="15"/>
      <c r="J126" s="15"/>
      <c r="K126" s="15">
        <v>30</v>
      </c>
      <c r="L126" s="15">
        <v>4</v>
      </c>
      <c r="M126" s="15"/>
      <c r="N126" s="15"/>
      <c r="O126" s="15"/>
      <c r="P126" s="15"/>
      <c r="Q126" s="15"/>
      <c r="R126" s="15"/>
      <c r="S126" s="15">
        <v>19</v>
      </c>
      <c r="T126" s="15">
        <v>4</v>
      </c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  <c r="CB126" s="1">
        <v>17</v>
      </c>
      <c r="CC126" s="1" t="str">
        <v>Quentin</v>
      </c>
      <c r="CD126" s="1">
        <v>4.0970000000000004</v>
      </c>
      <c r="CE126" s="1">
        <v>93</v>
      </c>
    </row>
    <row r="127" spans="1:83" x14ac:dyDescent="0.3">
      <c r="A127" s="15" t="s">
        <v>7</v>
      </c>
      <c r="B127" s="15">
        <v>30</v>
      </c>
      <c r="C127" s="15">
        <f>56/2</f>
        <v>28</v>
      </c>
      <c r="D127" s="15">
        <f>6/2</f>
        <v>3</v>
      </c>
      <c r="E127" s="15"/>
      <c r="F127" s="15"/>
      <c r="G127" s="15">
        <v>-28</v>
      </c>
      <c r="H127" s="15">
        <v>6</v>
      </c>
      <c r="I127" s="15"/>
      <c r="J127" s="15"/>
      <c r="K127" s="15">
        <f>56/2</f>
        <v>28</v>
      </c>
      <c r="L127" s="15">
        <f>6/2</f>
        <v>3</v>
      </c>
      <c r="M127" s="15">
        <v>28</v>
      </c>
      <c r="N127" s="15">
        <v>6</v>
      </c>
      <c r="O127" s="15"/>
      <c r="P127" s="15"/>
      <c r="Q127" s="15"/>
      <c r="R127" s="15"/>
      <c r="S127" s="15">
        <v>53</v>
      </c>
      <c r="T127" s="15">
        <v>6</v>
      </c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CB127" s="1">
        <v>18</v>
      </c>
      <c r="CC127" s="1" t="str">
        <v>Luca</v>
      </c>
      <c r="CD127" s="1">
        <v>3.0110000000000001</v>
      </c>
      <c r="CE127" s="1">
        <v>178</v>
      </c>
    </row>
    <row r="128" spans="1:83" x14ac:dyDescent="0.3">
      <c r="A128" s="15" t="s">
        <v>7</v>
      </c>
      <c r="B128" s="15">
        <v>29</v>
      </c>
      <c r="C128" s="15">
        <v>7</v>
      </c>
      <c r="D128" s="15">
        <v>6</v>
      </c>
      <c r="E128" s="15">
        <v>41</v>
      </c>
      <c r="F128" s="15">
        <v>6</v>
      </c>
      <c r="G128" s="15">
        <v>42</v>
      </c>
      <c r="H128" s="15">
        <v>6</v>
      </c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>
        <v>34</v>
      </c>
      <c r="T128" s="15">
        <v>6</v>
      </c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CB128" s="1">
        <v>19</v>
      </c>
      <c r="CC128" s="1" t="str">
        <v>Fantinne</v>
      </c>
      <c r="CD128" s="1">
        <v>2.9609999999999999</v>
      </c>
      <c r="CE128" s="1">
        <v>51</v>
      </c>
    </row>
    <row r="129" spans="1:86" x14ac:dyDescent="0.3">
      <c r="A129" s="15" t="s">
        <v>7</v>
      </c>
      <c r="B129" s="15">
        <v>28</v>
      </c>
      <c r="C129" s="15">
        <v>31</v>
      </c>
      <c r="D129" s="15">
        <v>4</v>
      </c>
      <c r="E129" s="15">
        <v>55</v>
      </c>
      <c r="F129" s="15">
        <v>4</v>
      </c>
      <c r="G129" s="15">
        <v>-8</v>
      </c>
      <c r="H129" s="15">
        <v>4</v>
      </c>
      <c r="I129" s="15">
        <v>33</v>
      </c>
      <c r="J129" s="15">
        <v>4</v>
      </c>
      <c r="K129" s="15"/>
      <c r="L129" s="15"/>
      <c r="M129" s="15">
        <v>11</v>
      </c>
      <c r="N129" s="15">
        <v>4</v>
      </c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  <c r="CB129" s="1">
        <v>20</v>
      </c>
      <c r="CC129" s="1" t="str">
        <v>Loulou</v>
      </c>
      <c r="CD129" s="1">
        <v>2.0750000000000002</v>
      </c>
      <c r="CE129" s="1">
        <v>67</v>
      </c>
    </row>
    <row r="130" spans="1:86" x14ac:dyDescent="0.3">
      <c r="A130" s="15" t="s">
        <v>7</v>
      </c>
      <c r="B130" s="15">
        <v>27</v>
      </c>
      <c r="C130" s="15">
        <v>42</v>
      </c>
      <c r="D130" s="15">
        <v>9</v>
      </c>
      <c r="E130" s="15">
        <v>73</v>
      </c>
      <c r="F130" s="15">
        <v>9</v>
      </c>
      <c r="G130" s="15">
        <v>34</v>
      </c>
      <c r="H130" s="15">
        <v>9</v>
      </c>
      <c r="I130" s="15">
        <v>62</v>
      </c>
      <c r="J130" s="15">
        <v>9</v>
      </c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</row>
    <row r="131" spans="1:86" x14ac:dyDescent="0.3">
      <c r="A131" s="15" t="s">
        <v>7</v>
      </c>
      <c r="B131" s="15">
        <v>26</v>
      </c>
      <c r="C131" s="15">
        <v>0</v>
      </c>
      <c r="D131" s="15">
        <v>1</v>
      </c>
      <c r="E131" s="15">
        <v>8</v>
      </c>
      <c r="F131" s="15">
        <v>1</v>
      </c>
      <c r="G131" s="15"/>
      <c r="H131" s="15"/>
      <c r="I131" s="15"/>
      <c r="J131" s="15"/>
      <c r="K131" s="15"/>
      <c r="L131" s="15"/>
      <c r="M131" s="15">
        <v>21</v>
      </c>
      <c r="N131" s="15">
        <v>2</v>
      </c>
      <c r="O131" s="15"/>
      <c r="P131" s="15"/>
      <c r="Q131" s="15"/>
      <c r="R131" s="15"/>
      <c r="S131" s="15">
        <v>13</v>
      </c>
      <c r="T131" s="15">
        <v>2</v>
      </c>
      <c r="U131" s="15"/>
      <c r="V131" s="15"/>
      <c r="W131" s="15"/>
      <c r="X131" s="15"/>
      <c r="Y131" s="15"/>
      <c r="Z131" s="15"/>
      <c r="AA131" s="15"/>
      <c r="AB131" s="15"/>
      <c r="AC131" s="15">
        <v>0</v>
      </c>
      <c r="AD131" s="15">
        <v>2</v>
      </c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</row>
    <row r="132" spans="1:86" x14ac:dyDescent="0.3">
      <c r="A132" s="15" t="s">
        <v>7</v>
      </c>
      <c r="B132" s="15">
        <v>25</v>
      </c>
      <c r="C132" s="15"/>
      <c r="D132" s="15"/>
      <c r="E132" s="15">
        <v>-14</v>
      </c>
      <c r="F132" s="15">
        <v>2</v>
      </c>
      <c r="G132" s="15">
        <v>27</v>
      </c>
      <c r="H132" s="15">
        <v>2</v>
      </c>
      <c r="I132" s="15">
        <v>-14</v>
      </c>
      <c r="J132" s="15">
        <v>2</v>
      </c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>
        <v>27</v>
      </c>
      <c r="AF132" s="15">
        <v>2</v>
      </c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5"/>
      <c r="AY132" s="15"/>
    </row>
    <row r="133" spans="1:86" x14ac:dyDescent="0.3">
      <c r="A133" s="15" t="s">
        <v>7</v>
      </c>
      <c r="B133" s="15">
        <v>24</v>
      </c>
      <c r="C133" s="15">
        <v>14</v>
      </c>
      <c r="D133" s="15">
        <v>2</v>
      </c>
      <c r="E133" s="15"/>
      <c r="F133" s="15"/>
      <c r="G133" s="15">
        <v>34</v>
      </c>
      <c r="H133" s="15">
        <v>2</v>
      </c>
      <c r="I133" s="15"/>
      <c r="J133" s="15"/>
      <c r="K133" s="15">
        <v>20</v>
      </c>
      <c r="L133" s="15">
        <v>2</v>
      </c>
      <c r="M133" s="15">
        <v>0</v>
      </c>
      <c r="N133" s="15">
        <v>2</v>
      </c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  <c r="AY133" s="15"/>
    </row>
    <row r="134" spans="1:86" x14ac:dyDescent="0.3">
      <c r="A134" s="15" t="s">
        <v>7</v>
      </c>
      <c r="B134" s="15">
        <v>23</v>
      </c>
      <c r="C134" s="15">
        <v>13</v>
      </c>
      <c r="D134" s="15">
        <v>9</v>
      </c>
      <c r="E134" s="15"/>
      <c r="F134" s="15"/>
      <c r="G134" s="15">
        <v>99</v>
      </c>
      <c r="H134" s="15">
        <v>9</v>
      </c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>
        <v>28</v>
      </c>
      <c r="T134" s="15">
        <v>9</v>
      </c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>
        <v>42</v>
      </c>
      <c r="AL134" s="15">
        <v>9</v>
      </c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</row>
    <row r="135" spans="1:86" x14ac:dyDescent="0.3">
      <c r="A135" s="15" t="s">
        <v>7</v>
      </c>
      <c r="B135" s="15">
        <v>22</v>
      </c>
      <c r="C135" s="15">
        <v>19</v>
      </c>
      <c r="D135" s="15">
        <v>8</v>
      </c>
      <c r="E135" s="15">
        <v>82</v>
      </c>
      <c r="F135" s="15">
        <v>8</v>
      </c>
      <c r="G135" s="15">
        <v>24</v>
      </c>
      <c r="H135" s="15">
        <v>8</v>
      </c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>
        <v>79</v>
      </c>
      <c r="AL135" s="15">
        <v>8</v>
      </c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15"/>
    </row>
    <row r="136" spans="1:86" x14ac:dyDescent="0.3">
      <c r="A136" s="15" t="s">
        <v>7</v>
      </c>
      <c r="B136" s="15">
        <v>21</v>
      </c>
      <c r="C136" s="15">
        <v>93</v>
      </c>
      <c r="D136" s="15">
        <v>20</v>
      </c>
      <c r="E136" s="15">
        <v>156</v>
      </c>
      <c r="F136" s="15">
        <v>20</v>
      </c>
      <c r="G136" s="15">
        <v>153</v>
      </c>
      <c r="H136" s="15">
        <v>20</v>
      </c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>
        <v>59</v>
      </c>
      <c r="X136" s="15">
        <v>20</v>
      </c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  <c r="AX136" s="15"/>
      <c r="AY136" s="15"/>
      <c r="CB136" s="1" t="str" cm="1">
        <f t="array" ref="CB136:CD153">_xlfn.LET(_xlpm.cols_impairs, _xlfn.SEQUENCE(1,COLUMNS(C1:AZ1)/2,1,2),
  _xlpm.cols_pairs,   _xlfn.SEQUENCE(1,COLUMNS(C2:AZ2)/2,2,2),
  _xlpm.noms,     TRANSPOSE(INDEX(C9:AZ9,,_xlpm.cols_impairs)),
  _xlpm.moy,      TRANSPOSE(INDEX(C1:AZ1,,_xlpm.cols_impairs)),
  _xlpm.parties,  TRANSPOSE(INDEX(C2:AZ2,,_xlpm.cols_pairs)),
  _xlpm.ok, ISNUMBER(_xlpm.moy),
  _xlfn._xlws.SORT(CHOOSE({1,2,3}, _xlfn._xlws.FILTER(_xlpm.noms,_xlpm.ok), _xlfn._xlws.FILTER(_xlpm.moy,_xlpm.ok), _xlfn._xlws.FILTER(_xlpm.parties,_xlpm.ok)), 2, -1)
)</f>
        <v>Boris</v>
      </c>
      <c r="CC136" s="1">
        <v>7.1766098484848486</v>
      </c>
      <c r="CD136" s="1">
        <v>1056</v>
      </c>
      <c r="CG136" s="1" t="str" cm="1">
        <f t="array" ref="CG136:CH155">_xlfn.LET(  _xlpm.noms, TRANSPOSE(INDEX(C9:BF9,_xlfn.SEQUENCE(1,COLUMNS(C9:BF9)/2,1,2))),_xlpm.moy,  TRANSPOSE(INDEX(C1:BF1,,_xlfn.SEQUENCE(1,COLUMNS(C1:BF1)/2,1,2))),_xlpm.ok, ISNUMBER(_xlpm.moy),_xlfn._xlws.SORT(CHOOSE({1,2}, _xlfn._xlws.FILTER(_xlpm.noms, _xlpm.ok), _xlfn._xlws.FILTER(_xlpm.moy, _xlpm.ok)), 2, -1))</f>
        <v>Boris</v>
      </c>
      <c r="CH136" s="1">
        <v>7.1766098484848486</v>
      </c>
    </row>
    <row r="137" spans="1:86" x14ac:dyDescent="0.3">
      <c r="A137" s="15" t="s">
        <v>7</v>
      </c>
      <c r="B137" s="15">
        <v>20</v>
      </c>
      <c r="C137" s="15"/>
      <c r="D137" s="15"/>
      <c r="E137" s="15">
        <v>35</v>
      </c>
      <c r="F137" s="15">
        <v>8</v>
      </c>
      <c r="G137" s="15">
        <v>45</v>
      </c>
      <c r="H137" s="15">
        <v>8</v>
      </c>
      <c r="I137" s="15"/>
      <c r="J137" s="15"/>
      <c r="K137" s="15"/>
      <c r="L137" s="15"/>
      <c r="M137" s="15">
        <v>27</v>
      </c>
      <c r="N137" s="15">
        <v>8</v>
      </c>
      <c r="O137" s="15"/>
      <c r="P137" s="15"/>
      <c r="Q137" s="15"/>
      <c r="R137" s="15"/>
      <c r="S137" s="15">
        <v>78</v>
      </c>
      <c r="T137" s="15">
        <v>8</v>
      </c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  <c r="AY137" s="15"/>
      <c r="CB137" s="1" t="str">
        <v>Gauthier</v>
      </c>
      <c r="CC137" s="1">
        <v>6.8620689655172411</v>
      </c>
      <c r="CD137" s="1">
        <v>87</v>
      </c>
      <c r="CG137" s="1" t="str">
        <v>Gauthier</v>
      </c>
      <c r="CH137" s="1">
        <v>6.8620689655172411</v>
      </c>
    </row>
    <row r="138" spans="1:86" x14ac:dyDescent="0.3">
      <c r="A138" s="15" t="s">
        <v>7</v>
      </c>
      <c r="B138" s="15">
        <v>19</v>
      </c>
      <c r="C138" s="15">
        <v>2</v>
      </c>
      <c r="D138" s="15">
        <v>7</v>
      </c>
      <c r="E138" s="15">
        <v>57</v>
      </c>
      <c r="F138" s="15">
        <v>7</v>
      </c>
      <c r="G138" s="15">
        <v>73</v>
      </c>
      <c r="H138" s="15">
        <v>7</v>
      </c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>
        <v>29</v>
      </c>
      <c r="T138" s="15">
        <v>7</v>
      </c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  <c r="AX138" s="15"/>
      <c r="AY138" s="15"/>
      <c r="CB138" s="1" t="str">
        <v>Célian</v>
      </c>
      <c r="CC138" s="1">
        <v>6.2635135135135132</v>
      </c>
      <c r="CD138" s="1">
        <v>296</v>
      </c>
      <c r="CG138" s="1" t="str">
        <v>Célian</v>
      </c>
      <c r="CH138" s="1">
        <v>6.2635135135135132</v>
      </c>
    </row>
    <row r="139" spans="1:86" x14ac:dyDescent="0.3">
      <c r="A139" s="15" t="s">
        <v>7</v>
      </c>
      <c r="B139" s="15">
        <v>18</v>
      </c>
      <c r="C139" s="15">
        <v>50</v>
      </c>
      <c r="D139" s="15">
        <v>10</v>
      </c>
      <c r="E139" s="15"/>
      <c r="F139" s="15"/>
      <c r="G139" s="15">
        <v>103</v>
      </c>
      <c r="H139" s="15">
        <v>10</v>
      </c>
      <c r="I139" s="15"/>
      <c r="J139" s="15"/>
      <c r="K139" s="15"/>
      <c r="L139" s="15"/>
      <c r="M139" s="15"/>
      <c r="N139" s="15"/>
      <c r="O139" s="15"/>
      <c r="P139" s="15"/>
      <c r="Q139" s="15">
        <v>44</v>
      </c>
      <c r="R139" s="15">
        <v>10</v>
      </c>
      <c r="S139" s="15"/>
      <c r="T139" s="15"/>
      <c r="U139" s="15">
        <v>2</v>
      </c>
      <c r="V139" s="15">
        <v>10</v>
      </c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  <c r="AT139" s="15"/>
      <c r="AU139" s="15"/>
      <c r="AV139" s="15"/>
      <c r="AW139" s="15"/>
      <c r="AX139" s="15"/>
      <c r="AY139" s="15"/>
      <c r="CB139" s="1" t="str">
        <v>William</v>
      </c>
      <c r="CC139" s="1">
        <v>6.068965517241379</v>
      </c>
      <c r="CD139" s="1">
        <v>29</v>
      </c>
      <c r="CG139" s="1" t="str">
        <v>William</v>
      </c>
      <c r="CH139" s="1">
        <v>6.068965517241379</v>
      </c>
    </row>
    <row r="140" spans="1:86" x14ac:dyDescent="0.3">
      <c r="A140" s="15" t="s">
        <v>7</v>
      </c>
      <c r="B140" s="15">
        <v>17</v>
      </c>
      <c r="C140" s="15">
        <v>28</v>
      </c>
      <c r="D140" s="15">
        <v>8</v>
      </c>
      <c r="E140" s="15">
        <v>8</v>
      </c>
      <c r="F140" s="15">
        <v>8</v>
      </c>
      <c r="G140" s="15">
        <v>94</v>
      </c>
      <c r="H140" s="15">
        <v>8</v>
      </c>
      <c r="I140" s="15"/>
      <c r="J140" s="15"/>
      <c r="K140" s="15"/>
      <c r="L140" s="15"/>
      <c r="M140" s="15">
        <v>39</v>
      </c>
      <c r="N140" s="15">
        <v>8</v>
      </c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  <c r="AV140" s="15"/>
      <c r="AW140" s="15"/>
      <c r="AX140" s="15"/>
      <c r="AY140" s="15"/>
      <c r="CB140" s="1" t="str">
        <v>Tom</v>
      </c>
      <c r="CC140" s="1">
        <v>5.9554655870445341</v>
      </c>
      <c r="CD140" s="1">
        <v>247</v>
      </c>
      <c r="CG140" s="1" t="str">
        <v>Tom</v>
      </c>
      <c r="CH140" s="1">
        <v>5.9554655870445341</v>
      </c>
    </row>
    <row r="141" spans="1:86" x14ac:dyDescent="0.3">
      <c r="A141" s="15" t="s">
        <v>7</v>
      </c>
      <c r="B141" s="15">
        <v>16</v>
      </c>
      <c r="C141" s="15">
        <v>59</v>
      </c>
      <c r="D141" s="15">
        <v>11</v>
      </c>
      <c r="E141" s="15">
        <v>99</v>
      </c>
      <c r="F141" s="15">
        <v>11</v>
      </c>
      <c r="G141" s="15">
        <v>46</v>
      </c>
      <c r="H141" s="15">
        <v>11</v>
      </c>
      <c r="I141" s="15">
        <v>42</v>
      </c>
      <c r="J141" s="15">
        <v>11</v>
      </c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  <c r="AU141" s="15"/>
      <c r="AV141" s="15"/>
      <c r="AW141" s="15"/>
      <c r="AX141" s="15"/>
      <c r="AY141" s="15"/>
      <c r="CB141" s="1" t="str">
        <v>Samuel</v>
      </c>
      <c r="CC141" s="1">
        <v>5.9099526066350707</v>
      </c>
      <c r="CD141" s="1">
        <v>211</v>
      </c>
      <c r="CG141" s="1" t="str">
        <v>Samuel</v>
      </c>
      <c r="CH141" s="1">
        <v>5.9099526066350707</v>
      </c>
    </row>
    <row r="142" spans="1:86" x14ac:dyDescent="0.3">
      <c r="A142" s="15" t="s">
        <v>7</v>
      </c>
      <c r="B142" s="15">
        <v>15</v>
      </c>
      <c r="C142" s="15">
        <v>21</v>
      </c>
      <c r="D142" s="15">
        <v>12</v>
      </c>
      <c r="E142" s="15">
        <v>61</v>
      </c>
      <c r="F142" s="15">
        <v>12</v>
      </c>
      <c r="G142" s="15">
        <v>91</v>
      </c>
      <c r="H142" s="15">
        <v>12</v>
      </c>
      <c r="I142" s="15"/>
      <c r="J142" s="15"/>
      <c r="K142" s="15"/>
      <c r="L142" s="15"/>
      <c r="M142" s="15"/>
      <c r="N142" s="15"/>
      <c r="O142" s="15">
        <v>70</v>
      </c>
      <c r="P142" s="15">
        <v>12</v>
      </c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  <c r="AY142" s="15"/>
      <c r="CB142" s="1" t="str">
        <v>Joachim</v>
      </c>
      <c r="CC142" s="1">
        <v>5.8899082568807337</v>
      </c>
      <c r="CD142" s="1">
        <v>109</v>
      </c>
      <c r="CG142" s="1" t="str">
        <v>Joachim</v>
      </c>
      <c r="CH142" s="1">
        <v>5.8899082568807337</v>
      </c>
    </row>
    <row r="143" spans="1:86" x14ac:dyDescent="0.3">
      <c r="A143" s="15" t="s">
        <v>7</v>
      </c>
      <c r="B143" s="15">
        <v>14</v>
      </c>
      <c r="C143" s="15">
        <v>29</v>
      </c>
      <c r="D143" s="15">
        <v>12</v>
      </c>
      <c r="E143" s="15">
        <v>55</v>
      </c>
      <c r="F143" s="15">
        <v>12</v>
      </c>
      <c r="G143" s="15">
        <v>107</v>
      </c>
      <c r="H143" s="15">
        <v>12</v>
      </c>
      <c r="I143" s="15">
        <v>81</v>
      </c>
      <c r="J143" s="15">
        <v>12</v>
      </c>
      <c r="K143" s="15">
        <v>84</v>
      </c>
      <c r="L143" s="15">
        <v>12</v>
      </c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  <c r="AU143" s="15"/>
      <c r="AV143" s="15"/>
      <c r="AW143" s="15"/>
      <c r="AX143" s="15"/>
      <c r="AY143" s="15"/>
      <c r="CB143" s="1" t="str">
        <v>Mehdi</v>
      </c>
      <c r="CC143" s="1">
        <v>5.7695961995249405</v>
      </c>
      <c r="CD143" s="1">
        <v>421</v>
      </c>
      <c r="CG143" s="1" t="str">
        <v>Mehdi</v>
      </c>
      <c r="CH143" s="1">
        <v>5.7695961995249405</v>
      </c>
    </row>
    <row r="144" spans="1:86" x14ac:dyDescent="0.3">
      <c r="A144" s="15" t="s">
        <v>7</v>
      </c>
      <c r="B144" s="15">
        <v>13</v>
      </c>
      <c r="C144" s="15">
        <v>162</v>
      </c>
      <c r="D144" s="15">
        <v>20</v>
      </c>
      <c r="E144" s="15">
        <v>125</v>
      </c>
      <c r="F144" s="15">
        <v>20</v>
      </c>
      <c r="G144" s="15">
        <v>87</v>
      </c>
      <c r="H144" s="15">
        <v>20</v>
      </c>
      <c r="I144" s="15">
        <v>150</v>
      </c>
      <c r="J144" s="15">
        <v>20</v>
      </c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  <c r="AV144" s="15"/>
      <c r="AW144" s="15"/>
      <c r="AX144" s="15"/>
      <c r="AY144" s="15"/>
      <c r="CB144" s="1" t="str">
        <v>Jules</v>
      </c>
      <c r="CC144" s="1">
        <v>5.6988636363636367</v>
      </c>
      <c r="CD144" s="1">
        <v>176</v>
      </c>
      <c r="CG144" s="1" t="str">
        <v>Jules</v>
      </c>
      <c r="CH144" s="1">
        <v>5.6988636363636367</v>
      </c>
    </row>
    <row r="145" spans="1:86" x14ac:dyDescent="0.3">
      <c r="A145" s="1" t="s">
        <v>25</v>
      </c>
      <c r="B145" s="1" t="s">
        <v>26</v>
      </c>
      <c r="CB145" s="1" t="str">
        <v>Achille</v>
      </c>
      <c r="CC145" s="1">
        <v>5.4065138721351023</v>
      </c>
      <c r="CD145" s="1">
        <v>829</v>
      </c>
      <c r="CG145" s="1" t="str">
        <v>Achille</v>
      </c>
      <c r="CH145" s="1">
        <v>5.4065138721351023</v>
      </c>
    </row>
    <row r="146" spans="1:86" x14ac:dyDescent="0.3">
      <c r="A146" s="1" t="s">
        <v>7</v>
      </c>
      <c r="B146" s="1">
        <v>12</v>
      </c>
      <c r="C146" s="1">
        <v>91</v>
      </c>
      <c r="D146" s="1">
        <v>11</v>
      </c>
      <c r="G146" s="1">
        <v>40</v>
      </c>
      <c r="H146" s="1">
        <v>11</v>
      </c>
      <c r="U146" s="1">
        <v>64</v>
      </c>
      <c r="V146" s="1">
        <v>11</v>
      </c>
      <c r="Y146" s="1">
        <v>64</v>
      </c>
      <c r="Z146" s="1">
        <v>11</v>
      </c>
      <c r="CB146" s="1" t="str">
        <v>Damien</v>
      </c>
      <c r="CC146" s="1">
        <v>5.365925925925926</v>
      </c>
      <c r="CD146" s="1">
        <v>675</v>
      </c>
      <c r="CG146" s="1" t="str">
        <v>Damien</v>
      </c>
      <c r="CH146" s="1">
        <v>5.365925925925926</v>
      </c>
    </row>
    <row r="147" spans="1:86" x14ac:dyDescent="0.3">
      <c r="A147" s="1" t="s">
        <v>7</v>
      </c>
      <c r="B147" s="1">
        <v>11</v>
      </c>
      <c r="C147" s="1">
        <v>64</v>
      </c>
      <c r="D147" s="1">
        <v>20</v>
      </c>
      <c r="E147" s="1">
        <v>87</v>
      </c>
      <c r="F147" s="1">
        <v>20</v>
      </c>
      <c r="G147" s="1">
        <v>185</v>
      </c>
      <c r="H147" s="1">
        <v>20</v>
      </c>
      <c r="M147" s="1">
        <v>134</v>
      </c>
      <c r="N147" s="1">
        <v>20</v>
      </c>
      <c r="CB147" s="1" t="str">
        <v>Paul</v>
      </c>
      <c r="CC147" s="1">
        <v>4.8125</v>
      </c>
      <c r="CD147" s="1">
        <v>32</v>
      </c>
      <c r="CG147" s="1" t="str">
        <v>Lou</v>
      </c>
      <c r="CH147" s="1">
        <v>5.3152173913043477</v>
      </c>
    </row>
    <row r="148" spans="1:86" x14ac:dyDescent="0.3">
      <c r="A148" s="1" t="s">
        <v>7</v>
      </c>
      <c r="B148" s="1">
        <v>10</v>
      </c>
      <c r="C148" s="1">
        <v>-2</v>
      </c>
      <c r="D148" s="1">
        <v>8</v>
      </c>
      <c r="G148" s="1">
        <v>65</v>
      </c>
      <c r="H148" s="1">
        <v>8</v>
      </c>
      <c r="K148" s="1">
        <v>44</v>
      </c>
      <c r="L148" s="1">
        <v>8</v>
      </c>
      <c r="M148" s="1">
        <v>80</v>
      </c>
      <c r="N148" s="1">
        <v>8</v>
      </c>
      <c r="CB148" s="1" t="str">
        <v>Joey</v>
      </c>
      <c r="CC148" s="1">
        <v>4.5</v>
      </c>
      <c r="CD148" s="1">
        <v>86</v>
      </c>
      <c r="CG148" s="1" t="str">
        <v>Paul</v>
      </c>
      <c r="CH148" s="1">
        <v>4.8125</v>
      </c>
    </row>
    <row r="149" spans="1:86" x14ac:dyDescent="0.3">
      <c r="A149" s="1" t="s">
        <v>7</v>
      </c>
      <c r="B149" s="1">
        <v>9</v>
      </c>
      <c r="C149" s="1">
        <v>45</v>
      </c>
      <c r="D149" s="1">
        <v>9</v>
      </c>
      <c r="G149" s="1">
        <v>47</v>
      </c>
      <c r="H149" s="1">
        <v>9</v>
      </c>
      <c r="Y149" s="1">
        <v>44</v>
      </c>
      <c r="Z149" s="1">
        <v>9</v>
      </c>
      <c r="AA149" s="1">
        <v>42</v>
      </c>
      <c r="AB149" s="1">
        <v>9</v>
      </c>
      <c r="CB149" s="1" t="str">
        <v>Marie</v>
      </c>
      <c r="CC149" s="1">
        <v>4.3098290598290596</v>
      </c>
      <c r="CD149" s="1">
        <v>234</v>
      </c>
      <c r="CG149" s="1" t="str">
        <v>Joey</v>
      </c>
      <c r="CH149" s="1">
        <v>4.5</v>
      </c>
    </row>
    <row r="150" spans="1:86" x14ac:dyDescent="0.3">
      <c r="A150" s="1" t="s">
        <v>7</v>
      </c>
      <c r="B150" s="1">
        <v>8</v>
      </c>
      <c r="C150" s="1">
        <v>61</v>
      </c>
      <c r="D150" s="1">
        <v>12</v>
      </c>
      <c r="G150" s="1">
        <v>96</v>
      </c>
      <c r="H150" s="1">
        <v>12</v>
      </c>
      <c r="Y150" s="1">
        <v>46</v>
      </c>
      <c r="Z150" s="1">
        <v>12</v>
      </c>
      <c r="AA150" s="1">
        <v>47</v>
      </c>
      <c r="AB150" s="1">
        <v>12</v>
      </c>
      <c r="CB150" s="1" t="str">
        <v>Quentin</v>
      </c>
      <c r="CC150" s="1">
        <v>4.096774193548387</v>
      </c>
      <c r="CD150" s="1">
        <v>93</v>
      </c>
      <c r="CG150" s="1" t="str">
        <v>Stanislas</v>
      </c>
      <c r="CH150" s="1">
        <v>4.4814814814814818</v>
      </c>
    </row>
    <row r="151" spans="1:86" x14ac:dyDescent="0.3">
      <c r="A151" s="1" t="s">
        <v>7</v>
      </c>
      <c r="B151" s="1">
        <v>7</v>
      </c>
      <c r="C151" s="1">
        <v>36</v>
      </c>
      <c r="D151" s="1">
        <v>2</v>
      </c>
      <c r="E151" s="1">
        <v>0</v>
      </c>
      <c r="F151" s="1">
        <v>2</v>
      </c>
      <c r="G151" s="1">
        <v>0</v>
      </c>
      <c r="H151" s="1">
        <v>2</v>
      </c>
      <c r="O151" s="1">
        <v>12</v>
      </c>
      <c r="P151" s="1">
        <v>2</v>
      </c>
      <c r="CB151" s="1" t="str">
        <v>Luca</v>
      </c>
      <c r="CC151" s="1">
        <v>3.0112359550561796</v>
      </c>
      <c r="CD151" s="1">
        <v>178</v>
      </c>
      <c r="CG151" s="1" t="str">
        <v>Marie</v>
      </c>
      <c r="CH151" s="1">
        <v>4.3098290598290596</v>
      </c>
    </row>
    <row r="152" spans="1:86" x14ac:dyDescent="0.3">
      <c r="A152" s="1" t="s">
        <v>7</v>
      </c>
      <c r="B152" s="1">
        <v>6</v>
      </c>
      <c r="C152" s="1">
        <v>99</v>
      </c>
      <c r="D152" s="1">
        <v>13</v>
      </c>
      <c r="E152" s="1">
        <v>23</v>
      </c>
      <c r="F152" s="1">
        <v>13</v>
      </c>
      <c r="G152" s="1">
        <v>90</v>
      </c>
      <c r="H152" s="1">
        <v>13</v>
      </c>
      <c r="I152" s="1">
        <v>131</v>
      </c>
      <c r="J152" s="1">
        <v>13</v>
      </c>
      <c r="CB152" s="1" t="str">
        <v>Fantinne</v>
      </c>
      <c r="CC152" s="1">
        <v>2.9607843137254903</v>
      </c>
      <c r="CD152" s="1">
        <v>51</v>
      </c>
      <c r="CG152" s="1" t="str">
        <v>Quentin</v>
      </c>
      <c r="CH152" s="1">
        <v>4.096774193548387</v>
      </c>
    </row>
    <row r="153" spans="1:86" x14ac:dyDescent="0.3">
      <c r="A153" s="1" t="s">
        <v>7</v>
      </c>
      <c r="B153" s="1">
        <v>5</v>
      </c>
      <c r="C153" s="1">
        <v>56</v>
      </c>
      <c r="D153" s="1">
        <v>9</v>
      </c>
      <c r="E153" s="1">
        <v>35</v>
      </c>
      <c r="F153" s="1">
        <v>9</v>
      </c>
      <c r="G153" s="1">
        <v>106</v>
      </c>
      <c r="H153" s="1">
        <v>9</v>
      </c>
      <c r="W153" s="1">
        <v>55</v>
      </c>
      <c r="X153" s="1">
        <v>9</v>
      </c>
      <c r="CB153" s="1" t="str">
        <v>Loulou</v>
      </c>
      <c r="CC153" s="1">
        <v>2.0746268656716418</v>
      </c>
      <c r="CD153" s="1">
        <v>67</v>
      </c>
      <c r="CG153" s="1" t="str">
        <v>Luca</v>
      </c>
      <c r="CH153" s="1">
        <v>3.0112359550561796</v>
      </c>
    </row>
    <row r="154" spans="1:86" x14ac:dyDescent="0.3">
      <c r="A154" s="1" t="s">
        <v>7</v>
      </c>
      <c r="B154" s="1">
        <v>4</v>
      </c>
      <c r="C154" s="1">
        <v>83</v>
      </c>
      <c r="D154" s="1">
        <v>11</v>
      </c>
      <c r="E154" s="1">
        <v>8</v>
      </c>
      <c r="F154" s="1">
        <v>11</v>
      </c>
      <c r="G154" s="1">
        <v>110</v>
      </c>
      <c r="H154" s="1">
        <v>11</v>
      </c>
      <c r="I154" s="1">
        <v>57</v>
      </c>
      <c r="J154" s="1">
        <v>11</v>
      </c>
      <c r="CG154" s="1" t="str">
        <v>Fantinne</v>
      </c>
      <c r="CH154" s="1">
        <v>2.9607843137254903</v>
      </c>
    </row>
    <row r="155" spans="1:86" x14ac:dyDescent="0.3">
      <c r="A155" s="1" t="s">
        <v>7</v>
      </c>
      <c r="B155" s="1">
        <v>3</v>
      </c>
      <c r="C155" s="1">
        <v>71</v>
      </c>
      <c r="D155" s="1">
        <v>13</v>
      </c>
      <c r="G155" s="1">
        <v>88</v>
      </c>
      <c r="H155" s="1">
        <v>13</v>
      </c>
      <c r="I155" s="1">
        <v>116</v>
      </c>
      <c r="J155" s="1">
        <v>13</v>
      </c>
      <c r="M155" s="1">
        <v>29</v>
      </c>
      <c r="N155" s="1">
        <v>13</v>
      </c>
      <c r="CG155" s="1" t="str">
        <v>Loulou</v>
      </c>
      <c r="CH155" s="1">
        <v>2.0746268656716418</v>
      </c>
    </row>
    <row r="156" spans="1:86" x14ac:dyDescent="0.3">
      <c r="A156" s="1" t="s">
        <v>7</v>
      </c>
      <c r="B156" s="1">
        <v>2</v>
      </c>
      <c r="C156" s="1">
        <v>21</v>
      </c>
      <c r="D156" s="1">
        <v>15</v>
      </c>
      <c r="E156" s="1">
        <v>33</v>
      </c>
      <c r="F156" s="1">
        <v>15</v>
      </c>
      <c r="G156" s="1">
        <v>90</v>
      </c>
      <c r="H156" s="1">
        <v>15</v>
      </c>
      <c r="I156" s="1">
        <v>99</v>
      </c>
      <c r="J156" s="1">
        <v>15</v>
      </c>
    </row>
    <row r="157" spans="1:86" x14ac:dyDescent="0.3">
      <c r="A157" s="1" t="s">
        <v>7</v>
      </c>
      <c r="B157" s="1">
        <v>1</v>
      </c>
      <c r="C157" s="1">
        <v>-5</v>
      </c>
      <c r="D157" s="1">
        <v>12</v>
      </c>
      <c r="E157" s="1">
        <v>88</v>
      </c>
      <c r="F157" s="1">
        <v>12</v>
      </c>
      <c r="G157" s="1">
        <v>64</v>
      </c>
      <c r="H157" s="1">
        <v>12</v>
      </c>
      <c r="I157" s="1">
        <v>95</v>
      </c>
      <c r="J157" s="1">
        <v>12</v>
      </c>
    </row>
  </sheetData>
  <sortState xmlns:xlrd2="http://schemas.microsoft.com/office/spreadsheetml/2017/richdata2" ref="A146:AM157">
    <sortCondition descending="1" ref="B146:B157"/>
  </sortState>
  <mergeCells count="31">
    <mergeCell ref="BG9:BH9"/>
    <mergeCell ref="BI9:BJ9"/>
    <mergeCell ref="BK9:BL9"/>
    <mergeCell ref="BA9:BB9"/>
    <mergeCell ref="BC9:BD9"/>
    <mergeCell ref="BE9:BF9"/>
    <mergeCell ref="Y9:Z9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  <mergeCell ref="W9:X9"/>
    <mergeCell ref="AW9:AX9"/>
    <mergeCell ref="AY9:AZ9"/>
    <mergeCell ref="AA9:AB9"/>
    <mergeCell ref="AC9:AD9"/>
    <mergeCell ref="AE9:AF9"/>
    <mergeCell ref="AK9:AL9"/>
    <mergeCell ref="AI9:AJ9"/>
    <mergeCell ref="AG9:AH9"/>
    <mergeCell ref="AM9:AN9"/>
    <mergeCell ref="AO9:AP9"/>
    <mergeCell ref="AQ9:AR9"/>
    <mergeCell ref="AS9:AT9"/>
    <mergeCell ref="AU9:AV9"/>
  </mergeCells>
  <conditionalFormatting sqref="C1 E1 G1 I1 K1 M1 O1 Q1 S1 U1 W1 Y1 AA1 AC1 AE1 AG1 AI1 AK1 AM1 AO1 AQ1 AS1 AU1 AW1 AY1 BA1 BC1 BE1 BG1 BI1 BK1 C9:AM9 AO9 AQ9 AS9 AU9 AW9 AY9 BA9 BC9 BE9 BG9 BI9 BK9">
    <cfRule type="expression" dxfId="24" priority="41" stopIfTrue="1">
      <formula>NOT(OR("/"=C$1,AVERAGE($C$1:$AZ$1)&lt;C$1,SMALL($C$1:$AZ$1,1)=C$1,SMALL($C$1:$AZ$1,2)=C$1,SMALL($C$1:$AZ$1,3)=C$1,LARGE($C$1:$AZ$1,1)=C$1,LARGE($C$1:$AZ$1,2)=C$1,LARGE($C$1:$AZ$1,3)=C$1))</formula>
    </cfRule>
    <cfRule type="expression" dxfId="23" priority="43" stopIfTrue="1">
      <formula>("/"=C$1)</formula>
    </cfRule>
    <cfRule type="expression" dxfId="22" priority="44" stopIfTrue="1">
      <formula>NOT(OR("/"=C$1,AVERAGE($C$1:$AZ$1)&gt;C$1,SMALL($C$1:$AZ$1,1)=C$1,SMALL($C$1:$AZ$1,2)=C$1,SMALL($C$1:$AZ$1,3)=C$1,LARGE($C$1:$AZ$1,1)=C$1,LARGE($C$1:$AZ$1,2)=C$1,LARGE($C$1:$AZ$1,3)=C$1))</formula>
    </cfRule>
    <cfRule type="expression" dxfId="21" priority="82" stopIfTrue="1">
      <formula>SMALL($C$1:$AZ$1,3)=C$1</formula>
    </cfRule>
    <cfRule type="expression" dxfId="20" priority="83" stopIfTrue="1">
      <formula>SMALL($C$1:$AZ$1,2)=C$1</formula>
    </cfRule>
    <cfRule type="expression" dxfId="19" priority="84" stopIfTrue="1">
      <formula>SMALL($C$1:$AZ$1,1)=C$1</formula>
    </cfRule>
    <cfRule type="expression" dxfId="18" priority="85" stopIfTrue="1">
      <formula>LARGE($C$1:$AZ$1,3)=C$1</formula>
    </cfRule>
    <cfRule type="expression" dxfId="17" priority="86" stopIfTrue="1">
      <formula>LARGE($C$1:$AZ$1,2)=C$1</formula>
    </cfRule>
    <cfRule type="expression" dxfId="16" priority="87" stopIfTrue="1">
      <formula>MAX($C$1:$AZ$1)=C$1</formula>
    </cfRule>
  </conditionalFormatting>
  <conditionalFormatting sqref="G10:G64 I10:I64 K10:K64 M10:M64 C10:C157 E10:E157 O10:O157 Q10:Q157 S10:S157 U10:U157 W10:W157 Y10:Y157 AA10:AA157 AC10:AC157 AE10:AE157 AG10:AG157 AI10:AI157 AK10:AK157 AM10:AM157 AO10:AO157 AQ10:AQ157 AS10:AS157 AU10:AU157 AW10:AW157 AY10:AY157 BA10:BA157 BC10:BC157 BE10:BE157 G66:G157 I66:I157 K66:K157 M66:M157">
    <cfRule type="expression" dxfId="15" priority="26" stopIfTrue="1">
      <formula>(C10/D10)&gt;12</formula>
    </cfRule>
    <cfRule type="expression" dxfId="14" priority="28" stopIfTrue="1">
      <formula>(C10/D10)&lt;-2</formula>
    </cfRule>
    <cfRule type="expression" dxfId="13" priority="30" stopIfTrue="1">
      <formula>(C10/D10)&lt;2</formula>
    </cfRule>
    <cfRule type="expression" dxfId="12" priority="32" stopIfTrue="1">
      <formula>(C10/D10)&gt;10</formula>
    </cfRule>
  </conditionalFormatting>
  <conditionalFormatting sqref="H10:H64 J10:J64 L10:L64 N10:N64 D10:D157 F10:F157 P10:P157 R10:R157 T10:T157 V10:V157 X10:X157 Z10:Z157 AB10:AB157 AD10:AD157 AF10:AF157 AH10:AH157 AJ10:AJ157 AL10:AL157 AN10:AN157 AP10:AP157 AR10:AR157 AT10:AT157 AV10:AV157 AX10:AX157 AZ10:AZ157 BB10:BB157 BD10:BD157 BF10:BF157 H66:H157 J66:J157 L66:L157 N66:N157">
    <cfRule type="expression" dxfId="11" priority="25" stopIfTrue="1">
      <formula>(C10/D10)&gt;12</formula>
    </cfRule>
    <cfRule type="expression" dxfId="10" priority="27" stopIfTrue="1">
      <formula>(C10/D10)&lt;-2</formula>
    </cfRule>
    <cfRule type="expression" dxfId="9" priority="29" stopIfTrue="1">
      <formula>(C10/D10)&lt;2</formula>
    </cfRule>
    <cfRule type="expression" dxfId="8" priority="31" stopIfTrue="1">
      <formula>(C10/D10)&gt;10</formula>
    </cfRule>
  </conditionalFormatting>
  <conditionalFormatting sqref="BU78:BU106">
    <cfRule type="cellIs" dxfId="7" priority="3" operator="greaterThan">
      <formula>1000</formula>
    </cfRule>
    <cfRule type="cellIs" dxfId="6" priority="4" operator="between">
      <formula>20</formula>
      <formula>50</formula>
    </cfRule>
    <cfRule type="cellIs" dxfId="5" priority="5" operator="between">
      <formula>50</formula>
      <formula>100</formula>
    </cfRule>
    <cfRule type="cellIs" dxfId="4" priority="6" operator="between">
      <formula>100</formula>
      <formula>250</formula>
    </cfRule>
    <cfRule type="cellIs" dxfId="3" priority="7" operator="between">
      <formula>250</formula>
      <formula>500</formula>
    </cfRule>
    <cfRule type="cellIs" dxfId="2" priority="8" operator="between">
      <formula>500</formula>
      <formula>1000</formula>
    </cfRule>
  </conditionalFormatting>
  <conditionalFormatting sqref="BZ78:BZ99">
    <cfRule type="cellIs" dxfId="1" priority="1" operator="between">
      <formula>1</formula>
      <formula>10</formula>
    </cfRule>
    <cfRule type="cellIs" dxfId="0" priority="2" operator="between">
      <formula>10</formula>
      <formula>20</formula>
    </cfRule>
  </conditionalFormatting>
  <pageMargins left="0.70000000000000007" right="0.70000000000000007" top="0.75" bottom="0.75" header="0.30000000000000004" footer="0.30000000000000004"/>
  <pageSetup paperSize="9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977F6-AD3F-47F0-926D-61192148887D}">
  <dimension ref="A1:I21"/>
  <sheetViews>
    <sheetView zoomScale="122" workbookViewId="0">
      <selection activeCell="B9" sqref="B9"/>
    </sheetView>
  </sheetViews>
  <sheetFormatPr baseColWidth="10" defaultRowHeight="14.4" x14ac:dyDescent="0.3"/>
  <cols>
    <col min="2" max="2" width="13.6640625" customWidth="1"/>
    <col min="3" max="3" width="13" customWidth="1"/>
    <col min="4" max="4" width="15.5546875" bestFit="1" customWidth="1"/>
    <col min="5" max="5" width="20.109375" customWidth="1"/>
    <col min="6" max="6" width="18.88671875" customWidth="1"/>
    <col min="7" max="7" width="18" customWidth="1"/>
    <col min="9" max="9" width="15.109375" customWidth="1"/>
    <col min="10" max="10" width="14" customWidth="1"/>
  </cols>
  <sheetData>
    <row r="1" spans="1:9" x14ac:dyDescent="0.3">
      <c r="A1" s="1" t="s">
        <v>8</v>
      </c>
      <c r="B1" s="1" t="s">
        <v>36</v>
      </c>
      <c r="C1" s="1" t="s">
        <v>37</v>
      </c>
      <c r="D1" s="1" t="s">
        <v>42</v>
      </c>
      <c r="F1" t="str" cm="1">
        <f t="array" ref="F1:F10">'All stat'!BV65:BV74</f>
        <v>légende</v>
      </c>
    </row>
    <row r="2" spans="1:9" x14ac:dyDescent="0.3">
      <c r="A2" s="25" cm="1">
        <f t="array" ref="A2:D21">_xlfn.ANCHORARRAY('All stat'!BR78)</f>
        <v>1</v>
      </c>
      <c r="B2" s="25" t="str">
        <v>Boris</v>
      </c>
      <c r="C2" s="25" t="str">
        <v>7.177</v>
      </c>
      <c r="D2" s="25">
        <v>1056</v>
      </c>
      <c r="F2" t="str">
        <v>nombre de parties</v>
      </c>
    </row>
    <row r="3" spans="1:9" x14ac:dyDescent="0.3">
      <c r="A3" s="25">
        <v>2</v>
      </c>
      <c r="B3" s="25" t="str">
        <v>Gauthier</v>
      </c>
      <c r="C3" s="25" t="str">
        <v>6.862</v>
      </c>
      <c r="D3" s="25">
        <v>87</v>
      </c>
      <c r="F3" t="str">
        <v>entre 1 et 10</v>
      </c>
      <c r="G3" s="23"/>
      <c r="H3" t="str" cm="1">
        <f t="array" ref="H3:I10">'All stat'!BX67:BY74</f>
        <v>anecdotique</v>
      </c>
      <c r="I3" t="str">
        <v>négligeable</v>
      </c>
    </row>
    <row r="4" spans="1:9" x14ac:dyDescent="0.3">
      <c r="A4" s="25">
        <v>3</v>
      </c>
      <c r="B4" s="25" t="str">
        <v>Célian</v>
      </c>
      <c r="C4" s="25" t="str">
        <v>6.264</v>
      </c>
      <c r="D4" s="25">
        <v>296</v>
      </c>
      <c r="F4" t="str">
        <v>entre 10 et 20</v>
      </c>
      <c r="G4" s="24"/>
      <c r="H4" t="str">
        <v>inexploitable</v>
      </c>
      <c r="I4" t="str">
        <v>inutile</v>
      </c>
    </row>
    <row r="5" spans="1:9" x14ac:dyDescent="0.3">
      <c r="A5" s="25">
        <v>4</v>
      </c>
      <c r="B5" s="25" t="str">
        <v>William</v>
      </c>
      <c r="C5" s="25" t="str">
        <v>6.069</v>
      </c>
      <c r="D5" s="25">
        <v>29</v>
      </c>
      <c r="F5" t="str">
        <v>entre 20 et 50</v>
      </c>
      <c r="G5" s="17"/>
      <c r="H5" t="str">
        <v>pas fiable</v>
      </c>
      <c r="I5" t="str">
        <v>fragile</v>
      </c>
    </row>
    <row r="6" spans="1:9" x14ac:dyDescent="0.3">
      <c r="A6" s="25">
        <v>5</v>
      </c>
      <c r="B6" s="25" t="str">
        <v>Tom</v>
      </c>
      <c r="C6" s="25" t="str">
        <v>5.955</v>
      </c>
      <c r="D6" s="25">
        <v>247</v>
      </c>
      <c r="F6" t="str">
        <v>entre 50 et 100</v>
      </c>
      <c r="G6" s="18"/>
      <c r="H6" t="str">
        <v>exploratoire</v>
      </c>
      <c r="I6" t="str">
        <v>à confirmer</v>
      </c>
    </row>
    <row r="7" spans="1:9" x14ac:dyDescent="0.3">
      <c r="A7" s="25">
        <v>6</v>
      </c>
      <c r="B7" s="25" t="str">
        <v>Samuel</v>
      </c>
      <c r="C7" s="25" t="str">
        <v>5.910</v>
      </c>
      <c r="D7" s="25">
        <v>211</v>
      </c>
      <c r="F7" t="str">
        <v>entre 100 et 250</v>
      </c>
      <c r="G7" s="21"/>
      <c r="H7" t="str">
        <v>solide</v>
      </c>
      <c r="I7" t="str">
        <v>fondé</v>
      </c>
    </row>
    <row r="8" spans="1:9" x14ac:dyDescent="0.3">
      <c r="A8" s="25">
        <v>7</v>
      </c>
      <c r="B8" s="25" t="str">
        <v>Joachim</v>
      </c>
      <c r="C8" s="25" t="str">
        <v>5.890</v>
      </c>
      <c r="D8" s="25">
        <v>109</v>
      </c>
      <c r="F8" t="str">
        <v>entre 250 et 500</v>
      </c>
      <c r="G8" s="19"/>
      <c r="H8" t="str">
        <v>fiable</v>
      </c>
      <c r="I8" t="str">
        <v>crédible</v>
      </c>
    </row>
    <row r="9" spans="1:9" x14ac:dyDescent="0.3">
      <c r="A9" s="25">
        <v>8</v>
      </c>
      <c r="B9" s="25" t="str">
        <v>Mehdi</v>
      </c>
      <c r="C9" s="25" t="str">
        <v>5.770</v>
      </c>
      <c r="D9" s="25">
        <v>421</v>
      </c>
      <c r="F9" t="str">
        <v>entre 500 et 1000</v>
      </c>
      <c r="G9" s="20"/>
      <c r="H9" t="str">
        <v>très fiable</v>
      </c>
      <c r="I9" t="str">
        <v>très robuste</v>
      </c>
    </row>
    <row r="10" spans="1:9" x14ac:dyDescent="0.3">
      <c r="A10" s="25">
        <v>9</v>
      </c>
      <c r="B10" s="25" t="str">
        <v>Jules</v>
      </c>
      <c r="C10" s="25" t="str">
        <v>5.699</v>
      </c>
      <c r="D10" s="25">
        <v>176</v>
      </c>
      <c r="F10" t="str">
        <v>plus de 1000</v>
      </c>
      <c r="G10" s="22"/>
      <c r="H10" t="str">
        <v>indiscutable</v>
      </c>
      <c r="I10" t="str">
        <v>irréfutable</v>
      </c>
    </row>
    <row r="11" spans="1:9" x14ac:dyDescent="0.3">
      <c r="A11" s="25">
        <v>10</v>
      </c>
      <c r="B11" s="25" t="str">
        <v>Achille</v>
      </c>
      <c r="C11" s="25" t="str">
        <v>5.407</v>
      </c>
      <c r="D11" s="25">
        <v>829</v>
      </c>
    </row>
    <row r="12" spans="1:9" x14ac:dyDescent="0.3">
      <c r="A12" s="25">
        <v>11</v>
      </c>
      <c r="B12" s="25" t="str">
        <v>Damien</v>
      </c>
      <c r="C12" s="25" t="str">
        <v>5.366</v>
      </c>
      <c r="D12" s="25">
        <v>675</v>
      </c>
    </row>
    <row r="13" spans="1:9" x14ac:dyDescent="0.3">
      <c r="A13" s="25">
        <v>12</v>
      </c>
      <c r="B13" s="25" t="str">
        <v>Lou</v>
      </c>
      <c r="C13" s="25" t="str">
        <v>5.315</v>
      </c>
      <c r="D13" s="25">
        <v>92</v>
      </c>
    </row>
    <row r="14" spans="1:9" x14ac:dyDescent="0.3">
      <c r="A14" s="25">
        <v>13</v>
      </c>
      <c r="B14" s="25" t="str">
        <v>Paul</v>
      </c>
      <c r="C14" s="25" t="str">
        <v>4.813</v>
      </c>
      <c r="D14" s="25">
        <v>32</v>
      </c>
    </row>
    <row r="15" spans="1:9" x14ac:dyDescent="0.3">
      <c r="A15" s="25">
        <v>14</v>
      </c>
      <c r="B15" s="25" t="str">
        <v>Joey</v>
      </c>
      <c r="C15" s="25" t="str">
        <v>4.500</v>
      </c>
      <c r="D15" s="25">
        <v>86</v>
      </c>
    </row>
    <row r="16" spans="1:9" x14ac:dyDescent="0.3">
      <c r="A16" s="25">
        <v>15</v>
      </c>
      <c r="B16" s="25" t="str">
        <v>Stanislas</v>
      </c>
      <c r="C16" s="25" t="str">
        <v>4.481</v>
      </c>
      <c r="D16" s="25">
        <v>27</v>
      </c>
    </row>
    <row r="17" spans="1:4" x14ac:dyDescent="0.3">
      <c r="A17" s="25">
        <v>16</v>
      </c>
      <c r="B17" s="25" t="str">
        <v>Marie</v>
      </c>
      <c r="C17" s="25" t="str">
        <v>4.310</v>
      </c>
      <c r="D17" s="25">
        <v>234</v>
      </c>
    </row>
    <row r="18" spans="1:4" x14ac:dyDescent="0.3">
      <c r="A18" s="25">
        <v>17</v>
      </c>
      <c r="B18" s="25" t="str">
        <v>Quentin</v>
      </c>
      <c r="C18" s="25" t="str">
        <v>4.097</v>
      </c>
      <c r="D18" s="25">
        <v>93</v>
      </c>
    </row>
    <row r="19" spans="1:4" x14ac:dyDescent="0.3">
      <c r="A19" s="25">
        <v>18</v>
      </c>
      <c r="B19" s="25" t="str">
        <v>Luca</v>
      </c>
      <c r="C19" s="25" t="str">
        <v>3.011</v>
      </c>
      <c r="D19" s="25">
        <v>178</v>
      </c>
    </row>
    <row r="20" spans="1:4" x14ac:dyDescent="0.3">
      <c r="A20" s="25">
        <v>19</v>
      </c>
      <c r="B20" s="25" t="str">
        <v>Fantinne</v>
      </c>
      <c r="C20" s="25" t="str">
        <v>2.961</v>
      </c>
      <c r="D20" s="25">
        <v>51</v>
      </c>
    </row>
    <row r="21" spans="1:4" x14ac:dyDescent="0.3">
      <c r="A21" s="25">
        <v>20</v>
      </c>
      <c r="B21" s="25" t="str">
        <v>Loulou</v>
      </c>
      <c r="C21" s="25" t="str">
        <v>2.075</v>
      </c>
      <c r="D21" s="25">
        <v>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All stat</vt:lpstr>
      <vt:lpstr>Classement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Boris DOBBELSTEIN</dc:creator>
  <cp:lastModifiedBy>Boris Dobbelstein</cp:lastModifiedBy>
  <dcterms:created xsi:type="dcterms:W3CDTF">2024-02-27T09:37:50Z</dcterms:created>
  <dcterms:modified xsi:type="dcterms:W3CDTF">2026-03-25T17:57:23Z</dcterms:modified>
</cp:coreProperties>
</file>