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616" documentId="8_{848EF4F6-53E4-4B52-9417-5BFB5A888B23}" xr6:coauthVersionLast="47" xr6:coauthVersionMax="47" xr10:uidLastSave="{4F2FDA5E-0541-46C9-93D2-967680491CE8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11" i="1"/>
  <c r="L6" i="1" s="1"/>
  <c r="K111" i="1"/>
  <c r="K6" i="1" s="1"/>
  <c r="D111" i="1"/>
  <c r="D6" i="1" s="1"/>
  <c r="C111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62" i="1" l="1" a="1"/>
  <c r="BL62" i="1" s="1"/>
  <c r="A2" i="2" s="1" a="1"/>
  <c r="A2" i="2" s="1"/>
  <c r="BQ62" i="1" a="1"/>
  <c r="BQ62" i="1" s="1"/>
  <c r="BV94" i="1" a="1"/>
  <c r="BV94" i="1" s="1"/>
  <c r="BV120" i="1" a="1"/>
  <c r="BV120" i="1" s="1"/>
  <c r="CA120" i="1" a="1"/>
  <c r="CA120" i="1" s="1"/>
  <c r="BV62" i="1" a="1"/>
  <c r="BV62" i="1" s="1"/>
  <c r="BJ74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<sst xmlns="http://schemas.openxmlformats.org/spreadsheetml/2006/main" count="329" uniqueCount="91">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</sst>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41"/>
  <sheetViews>
    <sheetView tabSelected="1" zoomScale="70" zoomScaleNormal="130" workbookViewId="0">
      <selection activeCell="Q17" sqref="Q17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5.3651960784313726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7.2040082219938331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5.3588785046728971</v>
      </c>
      <c r="N1" s="1" t="s">
        <v>2</v>
      </c>
      <c r="O1" s="1">
        <f t="shared" ref="O1" si="6">IF(P2&gt;19,O2/P2,"/")</f>
        <v>7.6461538461538465</v>
      </c>
      <c r="P1" s="1" t="s">
        <v>2</v>
      </c>
      <c r="Q1" s="1">
        <f t="shared" ref="Q1" si="7">IF(R2&gt;19,Q2/R2,"/")</f>
        <v>6.0048780487804878</v>
      </c>
      <c r="R1" s="1" t="s">
        <v>2</v>
      </c>
      <c r="S1" s="1">
        <f t="shared" ref="S1" si="8">IF(T2&gt;19,S2/T2,"/")</f>
        <v>6.1088082901554408</v>
      </c>
      <c r="T1" s="1" t="s">
        <v>2</v>
      </c>
      <c r="U1" s="1">
        <f t="shared" ref="U1" si="9">IF(V2&gt;19,U2/V2,"/")</f>
        <v>3.0192307692307692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4.1205128205128201</v>
      </c>
      <c r="AB1" s="1" t="s">
        <v>2</v>
      </c>
      <c r="AC1" s="1">
        <f>IF(AD2&gt;19,AC2/AD2,"/")</f>
        <v>4.75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2.5652173913043477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4.6349206349206353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6.0526315789473681</v>
      </c>
      <c r="BF1" s="1" t="s">
        <v>2</v>
      </c>
    </row>
    <row r="2" spans="1:63" x14ac:dyDescent="0.3">
      <c r="B2" s="1" t="s">
        <v>3</v>
      </c>
      <c r="C2" s="1">
        <f>C4+C6+C8</f>
        <v>4378</v>
      </c>
      <c r="D2" s="1">
        <f>D4+D6+D8</f>
        <v>816</v>
      </c>
      <c r="E2" s="1">
        <f t="shared" ref="E2:J2" si="27">E4+E6+E8</f>
        <v>2429</v>
      </c>
      <c r="F2" s="1">
        <f t="shared" si="27"/>
        <v>421</v>
      </c>
      <c r="G2" s="1">
        <f t="shared" si="27"/>
        <v>7009.5</v>
      </c>
      <c r="H2" s="1">
        <f t="shared" si="27"/>
        <v>973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2867</v>
      </c>
      <c r="N2" s="1">
        <f t="shared" si="28"/>
        <v>535</v>
      </c>
      <c r="O2" s="1">
        <f t="shared" si="28"/>
        <v>497</v>
      </c>
      <c r="P2" s="1">
        <f t="shared" si="28"/>
        <v>65</v>
      </c>
      <c r="Q2" s="1">
        <f t="shared" si="28"/>
        <v>1231</v>
      </c>
      <c r="R2" s="1">
        <f t="shared" si="28"/>
        <v>205</v>
      </c>
      <c r="S2" s="1">
        <f t="shared" si="28"/>
        <v>1179</v>
      </c>
      <c r="T2" s="1">
        <f t="shared" si="28"/>
        <v>193</v>
      </c>
      <c r="U2" s="1">
        <f t="shared" si="28"/>
        <v>471</v>
      </c>
      <c r="V2" s="1">
        <f t="shared" si="28"/>
        <v>156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803.5</v>
      </c>
      <c r="AB2" s="1">
        <f t="shared" si="28"/>
        <v>195</v>
      </c>
      <c r="AC2" s="1">
        <f t="shared" si="28"/>
        <v>551</v>
      </c>
      <c r="AD2" s="1">
        <f t="shared" si="28"/>
        <v>116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118</v>
      </c>
      <c r="AN2" s="1">
        <f t="shared" si="28"/>
        <v>46</v>
      </c>
      <c r="AO2" s="1">
        <f t="shared" si="28"/>
        <v>-1</v>
      </c>
      <c r="AP2" s="1">
        <f t="shared" si="28"/>
        <v>12</v>
      </c>
      <c r="AQ2" s="1">
        <f t="shared" si="28"/>
        <v>292</v>
      </c>
      <c r="AR2" s="1">
        <f t="shared" si="28"/>
        <v>63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345</v>
      </c>
      <c r="BF2" s="1">
        <f t="shared" si="30"/>
        <v>57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SUM(C130:C141)</f>
        <v>620</v>
      </c>
      <c r="D4" s="1">
        <f>SUM(D130:D141)</f>
        <v>135</v>
      </c>
      <c r="E4" s="1">
        <f t="shared" ref="E4:J4" si="58">SUM(E130:E141)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SUM(K130:K141)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SUM(BA130:BA141)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SUM(BE130:BE141)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$141,$E$10:$E$141,$G$10:$G$141,$I$10:$I$141,$K$10:$K$141,$M$10:$M$141,$O$10:$O$141,$Q$10:$Q$141,$S$10:$S$141,$U$10:$U$141,$W$10:$W$141,$Y$10:$Y$141,$AA$10:$AA$141,$AC$10:$AC$141,$AE$10:$AE$141,$AG$10:$AG$141,$AI$10:$AI$141,$AK$10:$AK$141,$AM$10:$AM$141,$AO$10:$AO$141,$AQ$10:$AQ$141,$AS$10:$AS$141,$AU$10:$AU$141,$AW$10:$AW$141,$AY$10:$AY$141,$BA$10:$BA$141,$BC$10:$BC$141,$BE$10:$BE$141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$141,$F$10:$F$141,$H$10:$H$141,$J$10:$J$141,$L$10:$L$141,$N$10:$N$141,$P$10:$P$141,$R$10:$R$141,$T$10:$T$141,$V$10:$V$141,$X$10:$X$141,$Z$10:$Z$141,$AB$10:$AB$141,$AD$10:$AD$141,$AF$10:$AF$141,$AH$10:$AH$141,$AJ$10:$AJ$141,$AL$10:$AL$141,$AN$10:$AN$141,$AP$10:$AP$141,$AR$10:$AR$141,$AT$10:$AT$141,$AV$10:$AV$141,$AX$10:$AX$141,$AZ$10:$AZ$141,$BB$10:$BB$141,$BD$10:$BD$141,$BF$10:$BF$141</f>
        <v>#VALUE!</v>
      </c>
    </row>
    <row r="6" spans="1:63" x14ac:dyDescent="0.3">
      <c r="B6" s="1" t="s">
        <v>3</v>
      </c>
      <c r="C6" s="1">
        <f>SUM(C86:C128)</f>
        <v>1804</v>
      </c>
      <c r="D6" s="1">
        <f>SUM(D86:D128)</f>
        <v>370</v>
      </c>
      <c r="E6" s="1">
        <f t="shared" ref="E6:J6" si="89">SUM(E86:E128)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SUM(K86:K128)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SUM(BA86:BA128)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SUM(BE86:BE128)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6.282958199356913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7.4921875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5.9106628242074928</v>
      </c>
      <c r="N7" s="15" t="s">
        <v>2</v>
      </c>
      <c r="O7" s="15">
        <f t="shared" ref="O7" si="98">O8/P8</f>
        <v>8.5581395348837201</v>
      </c>
      <c r="P7" s="15" t="s">
        <v>2</v>
      </c>
      <c r="Q7" s="15">
        <f t="shared" ref="Q7" si="99">Q8/R8</f>
        <v>6.115384615384615</v>
      </c>
      <c r="R7" s="15" t="s">
        <v>2</v>
      </c>
      <c r="S7" s="15">
        <f t="shared" ref="S7" si="100">S8/T8</f>
        <v>4.8965517241379306</v>
      </c>
      <c r="T7" s="15" t="s">
        <v>2</v>
      </c>
      <c r="U7" s="15">
        <f t="shared" ref="U7" si="101">U8/V8</f>
        <v>3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4.7276119402985071</v>
      </c>
      <c r="AB7" s="15" t="s">
        <v>2</v>
      </c>
      <c r="AC7" s="15">
        <f t="shared" ref="AC7" si="105">AC8/AD8</f>
        <v>5.0471698113207548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2.5652173913043477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4.9361702127659575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6.0526315789473681</v>
      </c>
      <c r="BF7" s="15" t="s">
        <v>2</v>
      </c>
    </row>
    <row r="8" spans="1:63" x14ac:dyDescent="0.3">
      <c r="A8" s="15"/>
      <c r="B8" s="15" t="s">
        <v>3</v>
      </c>
      <c r="C8" s="15">
        <f>SUM(C10:C84)</f>
        <v>1954</v>
      </c>
      <c r="D8" s="15">
        <f>SUM(D10:D84)</f>
        <v>311</v>
      </c>
      <c r="E8" s="15">
        <f t="shared" ref="E8:J8" si="120">SUM(E10:E84)</f>
        <v>849</v>
      </c>
      <c r="F8" s="15">
        <f t="shared" si="120"/>
        <v>126</v>
      </c>
      <c r="G8" s="15">
        <f t="shared" si="120"/>
        <v>3356.5</v>
      </c>
      <c r="H8" s="15">
        <f t="shared" si="120"/>
        <v>448</v>
      </c>
      <c r="I8" s="15">
        <f t="shared" si="120"/>
        <v>181</v>
      </c>
      <c r="J8" s="15">
        <f t="shared" si="120"/>
        <v>60</v>
      </c>
      <c r="K8" s="15">
        <f t="shared" ref="K8:AZ8" si="121">SUM(K10:K84)</f>
        <v>107</v>
      </c>
      <c r="L8" s="15">
        <f t="shared" si="121"/>
        <v>22</v>
      </c>
      <c r="M8" s="15">
        <f t="shared" si="121"/>
        <v>2051</v>
      </c>
      <c r="N8" s="15">
        <f t="shared" si="121"/>
        <v>347</v>
      </c>
      <c r="O8" s="15">
        <f t="shared" si="121"/>
        <v>368</v>
      </c>
      <c r="P8" s="15">
        <f t="shared" si="121"/>
        <v>43</v>
      </c>
      <c r="Q8" s="15">
        <f t="shared" si="121"/>
        <v>795</v>
      </c>
      <c r="R8" s="15">
        <f t="shared" si="121"/>
        <v>130</v>
      </c>
      <c r="S8" s="15">
        <f t="shared" si="121"/>
        <v>426</v>
      </c>
      <c r="T8" s="15">
        <f t="shared" si="121"/>
        <v>87</v>
      </c>
      <c r="U8" s="15">
        <f t="shared" si="121"/>
        <v>342</v>
      </c>
      <c r="V8" s="15">
        <f t="shared" si="121"/>
        <v>114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633.5</v>
      </c>
      <c r="AB8" s="15">
        <f t="shared" si="121"/>
        <v>134</v>
      </c>
      <c r="AC8" s="15">
        <f t="shared" si="121"/>
        <v>535</v>
      </c>
      <c r="AD8" s="15">
        <f t="shared" si="121"/>
        <v>106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118</v>
      </c>
      <c r="AN8" s="15">
        <f t="shared" si="121"/>
        <v>46</v>
      </c>
      <c r="AO8" s="15">
        <f t="shared" si="121"/>
        <v>-1</v>
      </c>
      <c r="AP8" s="15">
        <f t="shared" si="121"/>
        <v>12</v>
      </c>
      <c r="AQ8" s="15">
        <f t="shared" si="121"/>
        <v>232</v>
      </c>
      <c r="AR8" s="15">
        <f t="shared" si="121"/>
        <v>47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SUM(BA10:BA84)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SUM(BE10:BE84)</f>
        <v>345</v>
      </c>
      <c r="BF8" s="15">
        <f t="shared" si="123"/>
        <v>57</v>
      </c>
    </row>
    <row r="9" spans="1:63" x14ac:dyDescent="0.3">
      <c r="C9" s="26" t="s">
        <v>70</v>
      </c>
      <c r="D9" s="26"/>
      <c r="E9" s="26" t="s">
        <v>71</v>
      </c>
      <c r="F9" s="26"/>
      <c r="G9" s="26" t="s">
        <v>72</v>
      </c>
      <c r="H9" s="26"/>
      <c r="I9" s="26" t="s">
        <v>73</v>
      </c>
      <c r="J9" s="26"/>
      <c r="K9" s="26" t="s">
        <v>74</v>
      </c>
      <c r="L9" s="26"/>
      <c r="M9" s="26" t="s">
        <v>75</v>
      </c>
      <c r="N9" s="26"/>
      <c r="O9" s="26" t="s">
        <v>76</v>
      </c>
      <c r="P9" s="26"/>
      <c r="Q9" s="26" t="s">
        <v>77</v>
      </c>
      <c r="R9" s="26"/>
      <c r="S9" s="26" t="s">
        <v>78</v>
      </c>
      <c r="T9" s="26"/>
      <c r="U9" s="26" t="s">
        <v>79</v>
      </c>
      <c r="V9" s="26"/>
      <c r="W9" s="26" t="s">
        <v>80</v>
      </c>
      <c r="X9" s="26"/>
      <c r="Y9" s="26" t="s">
        <v>81</v>
      </c>
      <c r="Z9" s="26"/>
      <c r="AA9" s="26" t="s">
        <v>82</v>
      </c>
      <c r="AB9" s="26"/>
      <c r="AC9" s="26" t="s">
        <v>6</v>
      </c>
      <c r="AD9" s="26"/>
      <c r="AE9" s="26" t="s">
        <v>83</v>
      </c>
      <c r="AF9" s="26"/>
      <c r="AG9" s="26" t="s">
        <v>84</v>
      </c>
      <c r="AH9" s="26"/>
      <c r="AI9" s="26" t="s">
        <v>85</v>
      </c>
      <c r="AJ9" s="26"/>
      <c r="AK9" s="26" t="s">
        <v>86</v>
      </c>
      <c r="AL9" s="26"/>
      <c r="AM9" s="27" t="s">
        <v>39</v>
      </c>
      <c r="AN9" s="27"/>
      <c r="AO9" s="27" t="s">
        <v>19</v>
      </c>
      <c r="AP9" s="27"/>
      <c r="AQ9" s="27" t="s">
        <v>20</v>
      </c>
      <c r="AR9" s="27"/>
      <c r="AS9" s="27" t="s">
        <v>87</v>
      </c>
      <c r="AT9" s="27"/>
      <c r="AU9" s="27" t="s">
        <v>21</v>
      </c>
      <c r="AV9" s="27"/>
      <c r="AW9" s="27" t="s">
        <v>88</v>
      </c>
      <c r="AX9" s="27"/>
      <c r="AY9" s="27" t="s">
        <v>89</v>
      </c>
      <c r="AZ9" s="27"/>
      <c r="BA9" s="26" t="s">
        <v>90</v>
      </c>
      <c r="BB9" s="26"/>
      <c r="BC9" s="26" t="s">
        <v>33</v>
      </c>
      <c r="BD9" s="26"/>
      <c r="BE9" s="26" t="s">
        <v>34</v>
      </c>
      <c r="BF9" s="26"/>
    </row>
    <row r="10" spans="1:63" x14ac:dyDescent="0.3">
      <c r="B10" s="1">
        <v>130</v>
      </c>
    </row>
    <row r="11" spans="1:63" x14ac:dyDescent="0.3">
      <c r="B11" s="1">
        <v>129</v>
      </c>
    </row>
    <row r="12" spans="1:63" x14ac:dyDescent="0.3">
      <c r="B12" s="1">
        <v>128</v>
      </c>
    </row>
    <row r="13" spans="1:63" x14ac:dyDescent="0.3">
      <c r="B13" s="1">
        <v>127</v>
      </c>
    </row>
    <row r="14" spans="1:63" x14ac:dyDescent="0.3">
      <c r="B14" s="1">
        <v>126</v>
      </c>
    </row>
    <row r="15" spans="1:63" x14ac:dyDescent="0.3">
      <c r="B15" s="1">
        <v>125</v>
      </c>
    </row>
    <row r="16" spans="1:63" x14ac:dyDescent="0.3">
      <c r="B16" s="1">
        <v>124</v>
      </c>
    </row>
    <row r="17" spans="1:58" x14ac:dyDescent="0.3">
      <c r="B17" s="1">
        <v>123</v>
      </c>
    </row>
    <row r="18" spans="1:58" x14ac:dyDescent="0.3">
      <c r="B18" s="1">
        <v>122</v>
      </c>
    </row>
    <row r="19" spans="1:58" x14ac:dyDescent="0.3">
      <c r="B19" s="1">
        <v>121</v>
      </c>
      <c r="Q19" s="1">
        <v>59</v>
      </c>
      <c r="R19" s="1">
        <v>5</v>
      </c>
      <c r="AA19" s="1">
        <v>53</v>
      </c>
      <c r="AB19" s="1">
        <v>5</v>
      </c>
      <c r="AC19" s="1">
        <v>24</v>
      </c>
      <c r="AD19" s="1">
        <v>4</v>
      </c>
      <c r="AQ19" s="1">
        <v>51</v>
      </c>
      <c r="AR19" s="1">
        <v>5</v>
      </c>
      <c r="BE19" s="1">
        <v>13</v>
      </c>
      <c r="BF19" s="1">
        <v>5</v>
      </c>
    </row>
    <row r="20" spans="1:58" x14ac:dyDescent="0.3">
      <c r="B20" s="1">
        <v>120</v>
      </c>
      <c r="C20" s="1">
        <v>98</v>
      </c>
      <c r="D20" s="1">
        <v>16</v>
      </c>
      <c r="G20" s="1">
        <v>120</v>
      </c>
      <c r="H20" s="1">
        <v>16</v>
      </c>
      <c r="M20" s="1">
        <v>156</v>
      </c>
      <c r="N20" s="1">
        <v>16</v>
      </c>
      <c r="O20" s="1">
        <v>98</v>
      </c>
      <c r="P20" s="1">
        <v>16</v>
      </c>
      <c r="AM20" s="1">
        <v>27</v>
      </c>
      <c r="AN20" s="1">
        <v>16</v>
      </c>
    </row>
    <row r="21" spans="1:58" x14ac:dyDescent="0.3">
      <c r="B21" s="1">
        <v>119</v>
      </c>
      <c r="G21" s="1">
        <v>114</v>
      </c>
      <c r="H21" s="1">
        <v>12</v>
      </c>
      <c r="M21" s="1">
        <v>98</v>
      </c>
      <c r="N21" s="1">
        <v>12</v>
      </c>
      <c r="AA21" s="1">
        <v>46</v>
      </c>
      <c r="AB21" s="1">
        <v>12</v>
      </c>
      <c r="AQ21" s="1">
        <v>64</v>
      </c>
      <c r="AR21" s="1">
        <v>12</v>
      </c>
    </row>
    <row r="22" spans="1:58" x14ac:dyDescent="0.3">
      <c r="B22" s="1">
        <v>118</v>
      </c>
      <c r="G22" s="1">
        <v>39</v>
      </c>
      <c r="H22" s="1">
        <v>8</v>
      </c>
      <c r="M22" s="1">
        <v>54</v>
      </c>
      <c r="N22" s="1">
        <v>8</v>
      </c>
      <c r="AC22" s="1">
        <v>34</v>
      </c>
      <c r="AD22" s="1">
        <v>8</v>
      </c>
      <c r="AQ22" s="1">
        <v>62</v>
      </c>
      <c r="AR22" s="1">
        <v>8</v>
      </c>
    </row>
    <row r="23" spans="1:58" x14ac:dyDescent="0.3">
      <c r="B23" s="1">
        <v>117</v>
      </c>
      <c r="C23" s="1">
        <v>22</v>
      </c>
      <c r="D23" s="1">
        <v>3</v>
      </c>
      <c r="Q23" s="1">
        <v>0</v>
      </c>
      <c r="R23" s="1">
        <v>3</v>
      </c>
      <c r="S23" s="1">
        <v>0</v>
      </c>
      <c r="T23" s="1">
        <v>3</v>
      </c>
      <c r="AC23" s="1">
        <v>49</v>
      </c>
      <c r="AD23" s="1">
        <v>4</v>
      </c>
      <c r="AI23" s="1">
        <v>28</v>
      </c>
      <c r="AJ23" s="1">
        <v>3</v>
      </c>
    </row>
    <row r="24" spans="1:58" x14ac:dyDescent="0.3">
      <c r="B24" s="1">
        <v>116</v>
      </c>
      <c r="C24" s="1">
        <v>130</v>
      </c>
      <c r="D24" s="1">
        <v>12</v>
      </c>
      <c r="M24" s="1">
        <v>45</v>
      </c>
      <c r="N24" s="1">
        <v>12</v>
      </c>
      <c r="AC24" s="1">
        <v>69</v>
      </c>
      <c r="AD24" s="1">
        <v>12</v>
      </c>
      <c r="AI24" s="1">
        <v>31</v>
      </c>
      <c r="AJ24" s="1">
        <v>12</v>
      </c>
    </row>
    <row r="25" spans="1:58" x14ac:dyDescent="0.3">
      <c r="A25" s="1" t="s">
        <v>7</v>
      </c>
      <c r="B25" s="1">
        <v>115</v>
      </c>
      <c r="G25" s="1">
        <v>20</v>
      </c>
      <c r="H25" s="1">
        <v>4</v>
      </c>
      <c r="M25" s="1">
        <v>49</v>
      </c>
      <c r="N25" s="1">
        <v>4</v>
      </c>
      <c r="Q25" s="1">
        <v>24</v>
      </c>
      <c r="R25" s="1">
        <v>4</v>
      </c>
      <c r="AC25" s="1">
        <v>13</v>
      </c>
      <c r="AD25" s="1">
        <v>4</v>
      </c>
      <c r="BE25" s="1">
        <v>25</v>
      </c>
      <c r="BF25" s="1">
        <v>4</v>
      </c>
    </row>
    <row r="26" spans="1:58" x14ac:dyDescent="0.3">
      <c r="A26" s="1" t="s">
        <v>7</v>
      </c>
      <c r="B26" s="1">
        <v>114</v>
      </c>
      <c r="M26" s="1">
        <v>47</v>
      </c>
      <c r="N26" s="1">
        <v>3</v>
      </c>
      <c r="AC26" s="1">
        <v>0</v>
      </c>
      <c r="AD26" s="1">
        <v>3</v>
      </c>
      <c r="AM26" s="1">
        <v>0</v>
      </c>
      <c r="AN26" s="1">
        <v>3</v>
      </c>
      <c r="BE26" s="1">
        <v>13</v>
      </c>
      <c r="BF26" s="1">
        <v>3</v>
      </c>
    </row>
    <row r="27" spans="1:58" x14ac:dyDescent="0.3">
      <c r="A27" s="1" t="s">
        <v>7</v>
      </c>
      <c r="B27" s="1">
        <v>113</v>
      </c>
      <c r="C27" s="1">
        <v>31</v>
      </c>
      <c r="D27" s="1">
        <v>12</v>
      </c>
      <c r="G27" s="1">
        <v>131</v>
      </c>
      <c r="H27" s="1">
        <v>12</v>
      </c>
      <c r="M27" s="1">
        <v>102</v>
      </c>
      <c r="N27" s="1">
        <v>12</v>
      </c>
      <c r="U27" s="1">
        <v>10</v>
      </c>
      <c r="V27" s="1">
        <v>12</v>
      </c>
    </row>
    <row r="28" spans="1:58" x14ac:dyDescent="0.3">
      <c r="A28" s="1" t="s">
        <v>7</v>
      </c>
      <c r="B28" s="1">
        <v>112</v>
      </c>
      <c r="M28" s="1">
        <v>8</v>
      </c>
      <c r="N28" s="1">
        <v>5</v>
      </c>
      <c r="S28" s="1">
        <v>28</v>
      </c>
      <c r="T28" s="1">
        <v>5</v>
      </c>
      <c r="AC28" s="1">
        <v>35</v>
      </c>
      <c r="AD28" s="1">
        <v>5</v>
      </c>
      <c r="AY28" s="1">
        <v>21</v>
      </c>
      <c r="AZ28" s="1">
        <v>5</v>
      </c>
    </row>
    <row r="29" spans="1:58" x14ac:dyDescent="0.3">
      <c r="A29" s="1" t="s">
        <v>7</v>
      </c>
      <c r="B29" s="1">
        <v>111</v>
      </c>
      <c r="M29" s="1">
        <v>97</v>
      </c>
      <c r="N29" s="1">
        <v>8</v>
      </c>
      <c r="Q29" s="1">
        <v>45</v>
      </c>
      <c r="R29" s="1">
        <v>8</v>
      </c>
      <c r="AA29" s="1">
        <v>1</v>
      </c>
      <c r="AB29" s="1">
        <v>8</v>
      </c>
      <c r="AC29" s="1">
        <v>31</v>
      </c>
      <c r="AD29" s="1">
        <v>8</v>
      </c>
      <c r="BE29" s="1">
        <v>65</v>
      </c>
      <c r="BF29" s="1">
        <v>8</v>
      </c>
    </row>
    <row r="30" spans="1:58" x14ac:dyDescent="0.3">
      <c r="A30" s="1" t="s">
        <v>7</v>
      </c>
      <c r="B30" s="1">
        <v>110</v>
      </c>
      <c r="M30" s="1">
        <v>36</v>
      </c>
      <c r="N30" s="1">
        <v>7</v>
      </c>
      <c r="Q30" s="1">
        <v>79</v>
      </c>
      <c r="R30" s="1">
        <v>7</v>
      </c>
      <c r="S30" s="1">
        <v>-1</v>
      </c>
      <c r="T30" s="1">
        <v>7</v>
      </c>
      <c r="AC30" s="1">
        <v>47</v>
      </c>
      <c r="AD30" s="1">
        <v>7</v>
      </c>
    </row>
    <row r="31" spans="1:58" x14ac:dyDescent="0.3">
      <c r="A31" s="1" t="s">
        <v>7</v>
      </c>
      <c r="B31" s="1">
        <v>109</v>
      </c>
      <c r="G31" s="1">
        <v>40</v>
      </c>
      <c r="H31" s="1">
        <v>3</v>
      </c>
      <c r="Q31" s="1">
        <v>14</v>
      </c>
      <c r="R31" s="1">
        <v>3</v>
      </c>
      <c r="AC31" s="1">
        <v>15</v>
      </c>
      <c r="AD31" s="1">
        <v>3</v>
      </c>
      <c r="AM31" s="1">
        <v>9</v>
      </c>
      <c r="AN31" s="1">
        <v>1</v>
      </c>
      <c r="BE31" s="1">
        <v>17</v>
      </c>
      <c r="BF31" s="1">
        <v>2</v>
      </c>
    </row>
    <row r="32" spans="1:58" x14ac:dyDescent="0.3">
      <c r="A32" s="1" t="s">
        <v>7</v>
      </c>
      <c r="B32" s="1">
        <v>108</v>
      </c>
      <c r="Q32" s="1">
        <v>64</v>
      </c>
      <c r="R32" s="1">
        <v>11</v>
      </c>
      <c r="AA32" s="1">
        <v>15</v>
      </c>
      <c r="AB32" s="1">
        <v>11</v>
      </c>
      <c r="AM32" s="1">
        <v>53</v>
      </c>
      <c r="AN32" s="1">
        <v>11</v>
      </c>
      <c r="BE32" s="1">
        <v>96</v>
      </c>
      <c r="BF32" s="1">
        <v>11</v>
      </c>
    </row>
    <row r="33" spans="1:58" x14ac:dyDescent="0.3">
      <c r="A33" s="1" t="s">
        <v>7</v>
      </c>
      <c r="B33" s="1">
        <v>107</v>
      </c>
      <c r="G33" s="1">
        <v>77</v>
      </c>
      <c r="H33" s="1">
        <v>7</v>
      </c>
      <c r="M33" s="1">
        <v>63</v>
      </c>
      <c r="N33" s="1">
        <v>7</v>
      </c>
      <c r="S33" s="1">
        <v>14</v>
      </c>
      <c r="T33" s="1">
        <v>7</v>
      </c>
      <c r="AM33" s="1">
        <v>8</v>
      </c>
      <c r="AN33" s="1">
        <v>7</v>
      </c>
    </row>
    <row r="34" spans="1:58" x14ac:dyDescent="0.3">
      <c r="A34" s="1" t="s">
        <v>7</v>
      </c>
      <c r="B34" s="1">
        <v>106</v>
      </c>
      <c r="C34" s="1">
        <v>98</v>
      </c>
      <c r="D34" s="1">
        <v>16</v>
      </c>
      <c r="G34" s="1">
        <v>189</v>
      </c>
      <c r="H34" s="1">
        <v>16</v>
      </c>
      <c r="M34" s="1">
        <v>83</v>
      </c>
      <c r="N34" s="1">
        <v>16</v>
      </c>
      <c r="AC34" s="1">
        <v>54</v>
      </c>
      <c r="AD34" s="1">
        <v>16</v>
      </c>
    </row>
    <row r="35" spans="1:58" x14ac:dyDescent="0.3">
      <c r="A35" s="1" t="s">
        <v>7</v>
      </c>
      <c r="B35" s="1">
        <v>105</v>
      </c>
      <c r="C35" s="1">
        <v>79</v>
      </c>
      <c r="D35" s="1">
        <v>6</v>
      </c>
      <c r="Q35" s="1">
        <v>9</v>
      </c>
      <c r="R35" s="1">
        <v>7</v>
      </c>
      <c r="AA35" s="1">
        <v>13</v>
      </c>
      <c r="AB35" s="1">
        <v>6</v>
      </c>
      <c r="AC35" s="1">
        <v>21</v>
      </c>
      <c r="AD35" s="1">
        <v>6</v>
      </c>
      <c r="BE35" s="1">
        <v>20</v>
      </c>
      <c r="BF35" s="1">
        <v>7</v>
      </c>
    </row>
    <row r="36" spans="1:58" x14ac:dyDescent="0.3">
      <c r="A36" s="1" t="s">
        <v>7</v>
      </c>
      <c r="B36" s="1">
        <v>104</v>
      </c>
      <c r="G36" s="1">
        <v>103</v>
      </c>
      <c r="H36" s="1">
        <v>9</v>
      </c>
      <c r="M36" s="1">
        <v>31</v>
      </c>
      <c r="N36" s="1">
        <v>9</v>
      </c>
      <c r="S36" s="1">
        <v>64</v>
      </c>
      <c r="T36" s="1">
        <v>9</v>
      </c>
      <c r="AA36" s="1">
        <v>62</v>
      </c>
      <c r="AB36" s="1">
        <v>9</v>
      </c>
    </row>
    <row r="37" spans="1:58" x14ac:dyDescent="0.3">
      <c r="A37" s="1" t="s">
        <v>7</v>
      </c>
      <c r="B37" s="1">
        <v>103</v>
      </c>
      <c r="G37" s="1">
        <v>172</v>
      </c>
      <c r="H37" s="1">
        <v>17</v>
      </c>
      <c r="M37" s="1">
        <v>81</v>
      </c>
      <c r="N37" s="1">
        <v>17</v>
      </c>
      <c r="AQ37" s="1">
        <v>55</v>
      </c>
      <c r="AR37" s="1">
        <v>17</v>
      </c>
      <c r="BC37" s="1">
        <v>64</v>
      </c>
      <c r="BD37" s="1">
        <v>17</v>
      </c>
      <c r="BE37" s="1">
        <v>96</v>
      </c>
      <c r="BF37" s="1">
        <v>17</v>
      </c>
    </row>
    <row r="38" spans="1:58" x14ac:dyDescent="0.3">
      <c r="A38" s="1" t="s">
        <v>7</v>
      </c>
      <c r="B38" s="1">
        <v>102</v>
      </c>
      <c r="G38" s="1">
        <v>12</v>
      </c>
      <c r="H38" s="1">
        <v>5</v>
      </c>
      <c r="M38" s="1">
        <v>56</v>
      </c>
      <c r="N38" s="1">
        <v>5</v>
      </c>
      <c r="S38" s="1">
        <v>41</v>
      </c>
      <c r="T38" s="1">
        <v>5</v>
      </c>
      <c r="AQ38" s="1">
        <v>0</v>
      </c>
      <c r="AR38" s="1">
        <v>5</v>
      </c>
    </row>
    <row r="39" spans="1:58" x14ac:dyDescent="0.3">
      <c r="A39" s="1" t="s">
        <v>7</v>
      </c>
      <c r="B39" s="1">
        <v>101</v>
      </c>
      <c r="C39" s="1">
        <v>99</v>
      </c>
      <c r="D39" s="1">
        <v>12</v>
      </c>
      <c r="G39" s="1">
        <v>142</v>
      </c>
      <c r="H39" s="1">
        <v>12</v>
      </c>
      <c r="M39" s="1">
        <v>-30</v>
      </c>
      <c r="N39" s="1">
        <v>12</v>
      </c>
      <c r="AC39" s="1">
        <v>87</v>
      </c>
      <c r="AD39" s="1">
        <v>12</v>
      </c>
      <c r="AI39" s="1">
        <v>50</v>
      </c>
      <c r="AJ39" s="1">
        <v>12</v>
      </c>
    </row>
    <row r="40" spans="1:58" x14ac:dyDescent="0.3">
      <c r="A40" s="1" t="s">
        <v>7</v>
      </c>
      <c r="B40" s="1">
        <v>100</v>
      </c>
      <c r="C40" s="1">
        <v>22</v>
      </c>
      <c r="D40" s="1">
        <v>4</v>
      </c>
      <c r="G40" s="1">
        <v>44</v>
      </c>
      <c r="H40" s="1">
        <v>6</v>
      </c>
      <c r="M40" s="1">
        <v>8</v>
      </c>
      <c r="N40" s="1">
        <v>6</v>
      </c>
      <c r="Q40" s="1">
        <v>58</v>
      </c>
      <c r="R40" s="1">
        <v>6</v>
      </c>
      <c r="AC40" s="1">
        <v>48</v>
      </c>
      <c r="AD40" s="1">
        <v>6</v>
      </c>
      <c r="AE40" s="1" t="s">
        <v>29</v>
      </c>
    </row>
    <row r="41" spans="1:58" x14ac:dyDescent="0.3">
      <c r="A41" s="1" t="s">
        <v>7</v>
      </c>
      <c r="B41" s="1">
        <v>99</v>
      </c>
      <c r="G41" s="1">
        <v>24</v>
      </c>
      <c r="H41" s="1">
        <v>4</v>
      </c>
      <c r="M41" s="1">
        <v>21</v>
      </c>
      <c r="N41" s="1">
        <v>4</v>
      </c>
      <c r="U41" s="1">
        <v>50</v>
      </c>
      <c r="V41" s="1">
        <v>4</v>
      </c>
      <c r="AC41" s="1">
        <v>0</v>
      </c>
      <c r="AD41" s="1">
        <v>4</v>
      </c>
    </row>
    <row r="42" spans="1:58" x14ac:dyDescent="0.3">
      <c r="A42" s="1" t="s">
        <v>7</v>
      </c>
      <c r="B42" s="1">
        <v>98</v>
      </c>
      <c r="G42" s="1">
        <v>50</v>
      </c>
      <c r="H42" s="1">
        <v>5</v>
      </c>
      <c r="M42" s="1">
        <v>49</v>
      </c>
      <c r="N42" s="1">
        <v>5</v>
      </c>
      <c r="U42" s="1">
        <v>22</v>
      </c>
      <c r="V42" s="1">
        <v>5</v>
      </c>
      <c r="AA42" s="1">
        <v>0</v>
      </c>
      <c r="AB42" s="1">
        <v>5</v>
      </c>
    </row>
    <row r="43" spans="1:58" x14ac:dyDescent="0.3">
      <c r="A43" s="1" t="s">
        <v>7</v>
      </c>
      <c r="B43" s="1">
        <v>97</v>
      </c>
      <c r="C43" s="1">
        <v>60</v>
      </c>
      <c r="D43" s="1">
        <v>8</v>
      </c>
      <c r="G43" s="1">
        <v>-4</v>
      </c>
      <c r="H43" s="1">
        <v>8</v>
      </c>
      <c r="Q43" s="1">
        <v>9</v>
      </c>
      <c r="R43" s="1">
        <v>8</v>
      </c>
      <c r="AA43" s="1">
        <v>67</v>
      </c>
      <c r="AB43" s="1">
        <v>8</v>
      </c>
    </row>
    <row r="44" spans="1:58" x14ac:dyDescent="0.3">
      <c r="A44" s="1" t="s">
        <v>7</v>
      </c>
      <c r="B44" s="1">
        <v>96</v>
      </c>
      <c r="C44" s="1">
        <v>59</v>
      </c>
      <c r="D44" s="1">
        <v>4</v>
      </c>
      <c r="G44" s="1">
        <v>48</v>
      </c>
      <c r="H44" s="1">
        <v>4</v>
      </c>
      <c r="Q44" s="1">
        <v>28</v>
      </c>
      <c r="R44" s="1">
        <v>4</v>
      </c>
      <c r="U44" s="1">
        <v>-31</v>
      </c>
      <c r="V44" s="1">
        <v>4</v>
      </c>
    </row>
    <row r="45" spans="1:58" x14ac:dyDescent="0.3">
      <c r="A45" s="1" t="s">
        <v>7</v>
      </c>
      <c r="B45" s="1">
        <v>95</v>
      </c>
      <c r="C45" s="1">
        <v>46</v>
      </c>
      <c r="D45" s="1">
        <v>8</v>
      </c>
      <c r="G45" s="1">
        <v>90</v>
      </c>
      <c r="H45" s="1">
        <v>8</v>
      </c>
      <c r="Q45" s="1">
        <v>58</v>
      </c>
      <c r="R45" s="1">
        <v>8</v>
      </c>
      <c r="AI45" s="1">
        <v>13</v>
      </c>
      <c r="AJ45" s="1">
        <v>8</v>
      </c>
    </row>
    <row r="46" spans="1:58" x14ac:dyDescent="0.3">
      <c r="A46" s="1" t="s">
        <v>7</v>
      </c>
      <c r="B46" s="1">
        <v>94</v>
      </c>
      <c r="C46" s="1">
        <v>30</v>
      </c>
      <c r="D46" s="1">
        <v>8</v>
      </c>
      <c r="G46" s="1">
        <v>62</v>
      </c>
      <c r="H46" s="1">
        <v>8</v>
      </c>
      <c r="K46" s="1">
        <v>86</v>
      </c>
      <c r="L46" s="1">
        <v>8</v>
      </c>
      <c r="M46" s="1">
        <v>0</v>
      </c>
      <c r="N46" s="1">
        <v>8</v>
      </c>
    </row>
    <row r="47" spans="1:58" x14ac:dyDescent="0.3">
      <c r="A47" s="1" t="s">
        <v>7</v>
      </c>
      <c r="B47" s="1">
        <v>93</v>
      </c>
      <c r="G47" s="1">
        <v>130</v>
      </c>
      <c r="H47" s="1">
        <v>20</v>
      </c>
      <c r="M47" s="1">
        <v>108</v>
      </c>
      <c r="N47" s="1">
        <v>20</v>
      </c>
      <c r="U47" s="1">
        <v>99</v>
      </c>
      <c r="V47" s="1">
        <v>20</v>
      </c>
      <c r="AA47" s="1">
        <v>99</v>
      </c>
      <c r="AB47" s="1">
        <v>20</v>
      </c>
    </row>
    <row r="48" spans="1:58" x14ac:dyDescent="0.3">
      <c r="A48" s="1" t="s">
        <v>7</v>
      </c>
      <c r="B48" s="1">
        <v>92</v>
      </c>
      <c r="C48" s="1">
        <v>13</v>
      </c>
      <c r="D48" s="1">
        <v>4</v>
      </c>
      <c r="G48" s="1">
        <v>25</v>
      </c>
      <c r="H48" s="1">
        <v>4</v>
      </c>
      <c r="M48" s="1">
        <v>13</v>
      </c>
      <c r="N48" s="1">
        <v>4</v>
      </c>
      <c r="U48" s="1">
        <v>34</v>
      </c>
      <c r="V48" s="1">
        <v>4</v>
      </c>
    </row>
    <row r="49" spans="1:75" x14ac:dyDescent="0.3">
      <c r="A49" s="1" t="s">
        <v>7</v>
      </c>
      <c r="B49" s="1">
        <v>91</v>
      </c>
      <c r="G49" s="1">
        <v>123</v>
      </c>
      <c r="H49" s="1">
        <v>16</v>
      </c>
      <c r="M49" s="1">
        <v>108</v>
      </c>
      <c r="N49" s="1">
        <v>16</v>
      </c>
      <c r="Q49" s="1">
        <v>122</v>
      </c>
      <c r="R49" s="1">
        <v>16</v>
      </c>
      <c r="AA49" s="1">
        <v>97</v>
      </c>
      <c r="AB49" s="1">
        <v>16</v>
      </c>
      <c r="BP49" s="1" t="s">
        <v>43</v>
      </c>
      <c r="BR49" s="1" t="s">
        <v>53</v>
      </c>
    </row>
    <row r="50" spans="1:75" x14ac:dyDescent="0.3">
      <c r="A50" s="1" t="s">
        <v>7</v>
      </c>
      <c r="B50" s="1">
        <v>90</v>
      </c>
      <c r="C50" s="1">
        <v>62</v>
      </c>
      <c r="D50" s="1">
        <v>12</v>
      </c>
      <c r="G50" s="1">
        <v>39</v>
      </c>
      <c r="H50" s="1">
        <v>12</v>
      </c>
      <c r="M50" s="1">
        <v>98</v>
      </c>
      <c r="N50" s="1">
        <v>12</v>
      </c>
      <c r="U50" s="1">
        <v>42</v>
      </c>
      <c r="V50" s="1">
        <v>12</v>
      </c>
      <c r="BP50" s="1" t="s">
        <v>42</v>
      </c>
    </row>
    <row r="51" spans="1:75" x14ac:dyDescent="0.3">
      <c r="A51" s="1" t="s">
        <v>7</v>
      </c>
      <c r="B51" s="1">
        <v>89</v>
      </c>
      <c r="C51" s="1">
        <v>34</v>
      </c>
      <c r="D51" s="1">
        <v>5</v>
      </c>
      <c r="G51" s="1">
        <v>67</v>
      </c>
      <c r="H51" s="1">
        <v>5</v>
      </c>
      <c r="M51" s="1">
        <v>9</v>
      </c>
      <c r="N51" s="1">
        <v>5</v>
      </c>
      <c r="Q51" s="1">
        <v>14</v>
      </c>
      <c r="R51" s="1">
        <v>5</v>
      </c>
      <c r="BP51" s="1" t="s">
        <v>51</v>
      </c>
      <c r="BQ51" s="23"/>
      <c r="BR51" s="1" t="s">
        <v>60</v>
      </c>
      <c r="BS51" s="1" t="s">
        <v>63</v>
      </c>
    </row>
    <row r="52" spans="1:75" x14ac:dyDescent="0.3">
      <c r="A52" s="1" t="s">
        <v>7</v>
      </c>
      <c r="B52" s="1">
        <v>88</v>
      </c>
      <c r="C52" s="1">
        <v>8</v>
      </c>
      <c r="D52" s="1">
        <v>4</v>
      </c>
      <c r="G52" s="1">
        <v>46</v>
      </c>
      <c r="H52" s="1">
        <v>4</v>
      </c>
      <c r="M52" s="1">
        <v>23</v>
      </c>
      <c r="N52" s="1">
        <v>4</v>
      </c>
      <c r="S52" s="1">
        <v>6</v>
      </c>
      <c r="T52" s="1">
        <v>4</v>
      </c>
      <c r="BP52" s="1" t="s">
        <v>52</v>
      </c>
      <c r="BQ52" s="24"/>
      <c r="BR52" s="1" t="s">
        <v>61</v>
      </c>
      <c r="BS52" s="1" t="s">
        <v>54</v>
      </c>
    </row>
    <row r="53" spans="1:75" x14ac:dyDescent="0.3">
      <c r="A53" s="1" t="s">
        <v>7</v>
      </c>
      <c r="B53" s="1">
        <v>87</v>
      </c>
      <c r="C53" s="1">
        <v>21</v>
      </c>
      <c r="D53" s="1">
        <v>3</v>
      </c>
      <c r="G53" s="1">
        <v>23</v>
      </c>
      <c r="H53" s="1">
        <v>3</v>
      </c>
      <c r="I53" s="1">
        <v>8</v>
      </c>
      <c r="J53" s="1">
        <v>3</v>
      </c>
      <c r="M53" s="1">
        <v>0</v>
      </c>
      <c r="N53" s="1">
        <v>3</v>
      </c>
      <c r="BP53" s="1" t="s">
        <v>50</v>
      </c>
      <c r="BQ53" s="17"/>
      <c r="BR53" s="1" t="s">
        <v>55</v>
      </c>
      <c r="BS53" s="1" t="s">
        <v>64</v>
      </c>
    </row>
    <row r="54" spans="1:75" x14ac:dyDescent="0.3">
      <c r="A54" s="1" t="s">
        <v>7</v>
      </c>
      <c r="B54" s="1">
        <v>86</v>
      </c>
      <c r="C54" s="1">
        <v>0</v>
      </c>
      <c r="D54" s="1">
        <v>4</v>
      </c>
      <c r="G54" s="1">
        <v>37</v>
      </c>
      <c r="H54" s="1">
        <v>4</v>
      </c>
      <c r="I54" s="1">
        <v>25</v>
      </c>
      <c r="J54" s="1">
        <v>4</v>
      </c>
      <c r="K54" s="1">
        <v>62</v>
      </c>
      <c r="L54" s="1">
        <v>4</v>
      </c>
      <c r="BP54" s="1" t="s">
        <v>44</v>
      </c>
      <c r="BQ54" s="18"/>
      <c r="BR54" s="1" t="s">
        <v>59</v>
      </c>
      <c r="BS54" s="1" t="s">
        <v>65</v>
      </c>
    </row>
    <row r="55" spans="1:75" x14ac:dyDescent="0.3">
      <c r="A55" s="1" t="s">
        <v>7</v>
      </c>
      <c r="B55" s="1">
        <v>85</v>
      </c>
      <c r="C55" s="1">
        <v>93</v>
      </c>
      <c r="D55" s="1">
        <v>8</v>
      </c>
      <c r="G55" s="1">
        <v>13</v>
      </c>
      <c r="H55" s="1">
        <v>8</v>
      </c>
      <c r="S55" s="1">
        <v>81</v>
      </c>
      <c r="T55" s="1">
        <v>8</v>
      </c>
      <c r="AA55" s="1">
        <v>55</v>
      </c>
      <c r="AB55" s="1">
        <v>8</v>
      </c>
      <c r="BP55" s="1" t="s">
        <v>45</v>
      </c>
      <c r="BQ55" s="21"/>
      <c r="BR55" s="1" t="s">
        <v>56</v>
      </c>
      <c r="BS55" s="1" t="s">
        <v>66</v>
      </c>
    </row>
    <row r="56" spans="1:75" x14ac:dyDescent="0.3">
      <c r="A56" s="1" t="s">
        <v>7</v>
      </c>
      <c r="B56" s="1">
        <v>84</v>
      </c>
      <c r="C56" s="1">
        <v>34</v>
      </c>
      <c r="D56" s="1">
        <v>8</v>
      </c>
      <c r="G56" s="1">
        <v>52</v>
      </c>
      <c r="H56" s="1">
        <v>8</v>
      </c>
      <c r="M56" s="1">
        <v>34</v>
      </c>
      <c r="N56" s="1">
        <v>8</v>
      </c>
      <c r="S56" s="1">
        <v>50</v>
      </c>
      <c r="T56" s="1">
        <v>8</v>
      </c>
      <c r="AA56" s="1">
        <v>32</v>
      </c>
      <c r="AB56" s="1">
        <v>8</v>
      </c>
      <c r="BP56" s="1" t="s">
        <v>46</v>
      </c>
      <c r="BQ56" s="19"/>
      <c r="BR56" s="1" t="s">
        <v>57</v>
      </c>
      <c r="BS56" s="1" t="s">
        <v>67</v>
      </c>
    </row>
    <row r="57" spans="1:75" x14ac:dyDescent="0.3">
      <c r="A57" s="1" t="s">
        <v>7</v>
      </c>
      <c r="B57" s="1">
        <v>83</v>
      </c>
      <c r="C57" s="1">
        <v>23</v>
      </c>
      <c r="D57" s="1">
        <v>8</v>
      </c>
      <c r="G57" s="1">
        <v>24</v>
      </c>
      <c r="H57" s="1">
        <v>8</v>
      </c>
      <c r="M57" s="1">
        <v>94</v>
      </c>
      <c r="N57" s="1">
        <v>8</v>
      </c>
      <c r="S57" s="1">
        <v>43</v>
      </c>
      <c r="T57" s="1">
        <v>8</v>
      </c>
      <c r="BP57" s="1" t="s">
        <v>47</v>
      </c>
      <c r="BQ57" s="20"/>
      <c r="BR57" s="1" t="s">
        <v>58</v>
      </c>
      <c r="BS57" s="1" t="s">
        <v>68</v>
      </c>
    </row>
    <row r="58" spans="1:75" x14ac:dyDescent="0.3">
      <c r="A58" s="1" t="s">
        <v>7</v>
      </c>
      <c r="B58" s="1">
        <v>82</v>
      </c>
      <c r="C58" s="1">
        <v>72</v>
      </c>
      <c r="D58" s="1">
        <v>12</v>
      </c>
      <c r="G58" s="1">
        <v>84</v>
      </c>
      <c r="H58" s="1">
        <v>12</v>
      </c>
      <c r="M58" s="1">
        <v>56</v>
      </c>
      <c r="N58" s="1">
        <v>12</v>
      </c>
      <c r="AI58" s="1">
        <v>32</v>
      </c>
      <c r="AJ58" s="1">
        <v>12</v>
      </c>
      <c r="BP58" s="1" t="s">
        <v>48</v>
      </c>
      <c r="BQ58" s="22"/>
      <c r="BR58" s="1" t="s">
        <v>62</v>
      </c>
      <c r="BS58" s="1" t="s">
        <v>69</v>
      </c>
    </row>
    <row r="59" spans="1:75" x14ac:dyDescent="0.3">
      <c r="A59" s="1" t="s">
        <v>7</v>
      </c>
      <c r="B59" s="1">
        <v>81</v>
      </c>
      <c r="C59" s="1">
        <v>29</v>
      </c>
      <c r="D59" s="1">
        <v>5</v>
      </c>
      <c r="E59" s="1">
        <v>33</v>
      </c>
      <c r="F59" s="1">
        <v>6</v>
      </c>
      <c r="G59" s="1">
        <v>30.5</v>
      </c>
      <c r="H59" s="1">
        <v>3</v>
      </c>
      <c r="M59" s="1">
        <v>16</v>
      </c>
      <c r="N59" s="1">
        <v>2</v>
      </c>
      <c r="U59" s="1">
        <v>-20</v>
      </c>
      <c r="V59" s="1">
        <v>5</v>
      </c>
      <c r="AA59" s="1">
        <v>30.5</v>
      </c>
      <c r="AB59" s="1">
        <v>3</v>
      </c>
    </row>
    <row r="60" spans="1:75" x14ac:dyDescent="0.3">
      <c r="A60" s="1" t="s">
        <v>7</v>
      </c>
      <c r="B60" s="1">
        <v>80</v>
      </c>
      <c r="C60" s="1">
        <v>28</v>
      </c>
      <c r="D60" s="1">
        <v>7</v>
      </c>
      <c r="E60" s="1">
        <v>0</v>
      </c>
      <c r="F60" s="1">
        <v>7</v>
      </c>
      <c r="G60" s="1">
        <v>54</v>
      </c>
      <c r="H60" s="1">
        <v>8</v>
      </c>
      <c r="S60" s="1">
        <v>67</v>
      </c>
      <c r="T60" s="1">
        <v>7</v>
      </c>
      <c r="U60" s="1">
        <v>46</v>
      </c>
      <c r="V60" s="1">
        <v>7</v>
      </c>
      <c r="BL60" s="1" t="s">
        <v>8</v>
      </c>
      <c r="BM60" s="1" t="s">
        <v>36</v>
      </c>
      <c r="BN60" s="1" t="s">
        <v>37</v>
      </c>
      <c r="BO60" s="1" t="s">
        <v>42</v>
      </c>
      <c r="BQ60" s="1" t="s">
        <v>40</v>
      </c>
      <c r="BR60" s="1" t="s">
        <v>36</v>
      </c>
      <c r="BS60" s="1" t="s">
        <v>41</v>
      </c>
      <c r="BT60" s="1" t="s">
        <v>42</v>
      </c>
      <c r="BV60" s="1" t="s">
        <v>35</v>
      </c>
    </row>
    <row r="61" spans="1:75" x14ac:dyDescent="0.3">
      <c r="A61" s="1" t="s">
        <v>7</v>
      </c>
      <c r="B61" s="1">
        <v>79</v>
      </c>
      <c r="C61" s="1">
        <v>75</v>
      </c>
      <c r="D61" s="1">
        <v>8</v>
      </c>
      <c r="E61" s="1">
        <v>87</v>
      </c>
      <c r="F61" s="1">
        <v>8</v>
      </c>
      <c r="G61" s="1">
        <v>10</v>
      </c>
      <c r="H61" s="1">
        <v>8</v>
      </c>
      <c r="W61" s="1">
        <v>32</v>
      </c>
      <c r="X61" s="1">
        <v>8</v>
      </c>
    </row>
    <row r="62" spans="1:75" x14ac:dyDescent="0.3">
      <c r="A62" s="1" t="s">
        <v>7</v>
      </c>
      <c r="B62" s="1">
        <v>78</v>
      </c>
      <c r="C62" s="1">
        <v>0</v>
      </c>
      <c r="D62" s="1">
        <v>3</v>
      </c>
      <c r="E62" s="1">
        <v>0</v>
      </c>
      <c r="F62" s="1">
        <v>1</v>
      </c>
      <c r="G62" s="1">
        <v>44</v>
      </c>
      <c r="H62" s="1">
        <v>4</v>
      </c>
      <c r="I62" s="1">
        <v>-14</v>
      </c>
      <c r="J62" s="1">
        <v>2</v>
      </c>
      <c r="M62" s="1">
        <v>33</v>
      </c>
      <c r="N62" s="1">
        <v>4</v>
      </c>
      <c r="W62" s="1">
        <v>-1</v>
      </c>
      <c r="X62" s="1">
        <v>4</v>
      </c>
      <c r="BA62" s="1">
        <v>34</v>
      </c>
      <c r="BB62" s="1">
        <v>2</v>
      </c>
      <c r="BI62" s="2"/>
      <c r="BJ62" s="1" t="s">
        <v>30</v>
      </c>
      <c r="BL62" s="1" cm="1">
        <f t="array" ref="BL62:BO8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62" s="1" t="str">
        <v>Gauthier</v>
      </c>
      <c r="BN62" s="1" t="str">
        <v>7.646</v>
      </c>
      <c r="BO62" s="1">
        <v>65</v>
      </c>
      <c r="BQ62" s="1" cm="1">
        <f t="array" ref="BQ62:BT7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62" s="1" t="str">
        <v>Amélie</v>
      </c>
      <c r="BS62" s="1" t="str">
        <v>17.000</v>
      </c>
      <c r="BT62" s="1">
        <v>2</v>
      </c>
      <c r="BV62" s="1" t="str" cm="1">
        <f t="array" ref="BV62:BW8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62" s="1">
        <v>7.6461538461538465</v>
      </c>
    </row>
    <row r="63" spans="1:75" x14ac:dyDescent="0.3">
      <c r="A63" s="1" t="s">
        <v>24</v>
      </c>
      <c r="B63" s="1">
        <v>77</v>
      </c>
      <c r="G63" s="1">
        <v>135</v>
      </c>
      <c r="H63" s="1">
        <v>12</v>
      </c>
      <c r="M63" s="1">
        <v>142</v>
      </c>
      <c r="N63" s="1">
        <v>12</v>
      </c>
      <c r="U63" s="1">
        <v>-7</v>
      </c>
      <c r="V63" s="1">
        <v>12</v>
      </c>
      <c r="AA63" s="1">
        <v>20</v>
      </c>
      <c r="AB63" s="1">
        <v>8</v>
      </c>
      <c r="BI63" s="3"/>
      <c r="BJ63" s="1" t="s">
        <v>31</v>
      </c>
      <c r="BL63" s="1">
        <v>2</v>
      </c>
      <c r="BM63" s="1" t="str">
        <v>Boris</v>
      </c>
      <c r="BN63" s="1" t="str">
        <v>7.204</v>
      </c>
      <c r="BO63" s="1">
        <v>973</v>
      </c>
      <c r="BQ63" s="1">
        <v>2</v>
      </c>
      <c r="BR63" s="1" t="str">
        <v>Maxime_Ca</v>
      </c>
      <c r="BS63" s="1" t="str">
        <v>8.500</v>
      </c>
      <c r="BT63" s="1">
        <v>4</v>
      </c>
      <c r="BV63" s="1" t="str">
        <v>Boris</v>
      </c>
      <c r="BW63" s="1">
        <v>7.2040082219938331</v>
      </c>
    </row>
    <row r="64" spans="1:75" x14ac:dyDescent="0.3">
      <c r="A64" s="1" t="s">
        <v>24</v>
      </c>
      <c r="B64" s="1">
        <v>76</v>
      </c>
      <c r="C64" s="1">
        <v>-9</v>
      </c>
      <c r="D64" s="1">
        <v>4</v>
      </c>
      <c r="E64" s="1">
        <v>39</v>
      </c>
      <c r="F64" s="1">
        <v>4</v>
      </c>
      <c r="G64" s="1">
        <v>45</v>
      </c>
      <c r="H64" s="1">
        <v>4</v>
      </c>
      <c r="AI64" s="1">
        <v>-3</v>
      </c>
      <c r="AJ64" s="1">
        <v>4</v>
      </c>
      <c r="BI64" s="4"/>
      <c r="BJ64" s="1" t="s">
        <v>32</v>
      </c>
      <c r="BL64" s="1">
        <v>3</v>
      </c>
      <c r="BM64" s="1" t="str">
        <v>Joachim</v>
      </c>
      <c r="BN64" s="1" t="str">
        <v>6.202</v>
      </c>
      <c r="BO64" s="1">
        <v>104</v>
      </c>
      <c r="BQ64" s="1">
        <v>3</v>
      </c>
      <c r="BR64" s="1" t="str">
        <v>Pascale</v>
      </c>
      <c r="BS64" s="1" t="str">
        <v>7.118</v>
      </c>
      <c r="BT64" s="1">
        <v>17</v>
      </c>
      <c r="BV64" s="1" t="str">
        <v>Joachim</v>
      </c>
      <c r="BW64" s="1">
        <v>6.2019230769230766</v>
      </c>
    </row>
    <row r="65" spans="1:75" x14ac:dyDescent="0.3">
      <c r="A65" s="1" t="s">
        <v>22</v>
      </c>
      <c r="B65" s="1">
        <v>75</v>
      </c>
      <c r="C65" s="1">
        <v>20</v>
      </c>
      <c r="D65" s="1">
        <v>4</v>
      </c>
      <c r="G65" s="1">
        <v>58</v>
      </c>
      <c r="H65" s="1">
        <v>4</v>
      </c>
      <c r="U65" s="1">
        <v>-30</v>
      </c>
      <c r="V65" s="1">
        <v>4</v>
      </c>
      <c r="AU65" s="1">
        <v>34</v>
      </c>
      <c r="AV65" s="1">
        <v>4</v>
      </c>
      <c r="BL65" s="1">
        <v>4</v>
      </c>
      <c r="BM65" s="1" t="str">
        <v>Tom</v>
      </c>
      <c r="BN65" s="1" t="str">
        <v>6.109</v>
      </c>
      <c r="BO65" s="1">
        <v>193</v>
      </c>
      <c r="BQ65" s="1">
        <v>4</v>
      </c>
      <c r="BR65" s="1" t="str">
        <v>Harrison</v>
      </c>
      <c r="BS65" s="1" t="str">
        <v>5.400</v>
      </c>
      <c r="BT65" s="1">
        <v>5</v>
      </c>
      <c r="BV65" s="1" t="str">
        <v>Tom</v>
      </c>
      <c r="BW65" s="1">
        <v>6.1088082901554408</v>
      </c>
    </row>
    <row r="66" spans="1:75" x14ac:dyDescent="0.3">
      <c r="A66" s="1" t="s">
        <v>7</v>
      </c>
      <c r="B66" s="1">
        <v>74</v>
      </c>
      <c r="C66" s="1">
        <v>27</v>
      </c>
      <c r="D66" s="1">
        <v>4</v>
      </c>
      <c r="G66" s="1">
        <v>13</v>
      </c>
      <c r="H66" s="1">
        <v>4</v>
      </c>
      <c r="M66" s="1">
        <v>29</v>
      </c>
      <c r="N66" s="1">
        <v>4</v>
      </c>
      <c r="U66" s="1">
        <v>21</v>
      </c>
      <c r="V66" s="1">
        <v>4</v>
      </c>
      <c r="BI66" s="5"/>
      <c r="BJ66" s="1" t="s">
        <v>9</v>
      </c>
      <c r="BL66" s="1">
        <v>5</v>
      </c>
      <c r="BM66" s="1" t="str">
        <v>William</v>
      </c>
      <c r="BN66" s="1" t="str">
        <v>6.069</v>
      </c>
      <c r="BO66" s="1">
        <v>29</v>
      </c>
      <c r="BQ66" s="1">
        <v>5</v>
      </c>
      <c r="BR66" s="1" t="str">
        <v>Stanislas</v>
      </c>
      <c r="BS66" s="1" t="str">
        <v>3.765</v>
      </c>
      <c r="BT66" s="1">
        <v>17</v>
      </c>
      <c r="BV66" s="1" t="str">
        <v>William</v>
      </c>
      <c r="BW66" s="1">
        <v>6.068965517241379</v>
      </c>
    </row>
    <row r="67" spans="1:75" x14ac:dyDescent="0.3">
      <c r="A67" s="1" t="s">
        <v>7</v>
      </c>
      <c r="B67" s="1">
        <v>73</v>
      </c>
      <c r="C67" s="1">
        <v>92</v>
      </c>
      <c r="D67" s="1">
        <v>7</v>
      </c>
      <c r="G67" s="1">
        <v>27</v>
      </c>
      <c r="H67" s="1">
        <v>7</v>
      </c>
      <c r="U67" s="1">
        <v>-5</v>
      </c>
      <c r="V67" s="1">
        <v>7</v>
      </c>
      <c r="AA67" s="1">
        <v>43</v>
      </c>
      <c r="AB67" s="1">
        <v>7</v>
      </c>
      <c r="BI67" s="10"/>
      <c r="BJ67" s="1" t="s">
        <v>12</v>
      </c>
      <c r="BL67" s="1">
        <v>6</v>
      </c>
      <c r="BM67" s="1" t="str">
        <v>Lou</v>
      </c>
      <c r="BN67" s="1" t="str">
        <v>6.053</v>
      </c>
      <c r="BO67" s="1">
        <v>57</v>
      </c>
      <c r="BQ67" s="1">
        <v>6</v>
      </c>
      <c r="BR67" s="1" t="str">
        <v>Émile</v>
      </c>
      <c r="BS67" s="1" t="str">
        <v>3.308</v>
      </c>
      <c r="BT67" s="1">
        <v>13</v>
      </c>
      <c r="BV67" s="1" t="str">
        <v>Lou</v>
      </c>
      <c r="BW67" s="1">
        <v>6.0526315789473681</v>
      </c>
    </row>
    <row r="68" spans="1:75" x14ac:dyDescent="0.3">
      <c r="A68" s="1" t="s">
        <v>7</v>
      </c>
      <c r="B68" s="1">
        <v>72</v>
      </c>
      <c r="C68" s="1">
        <v>11</v>
      </c>
      <c r="D68" s="1">
        <v>1</v>
      </c>
      <c r="G68" s="1">
        <v>11</v>
      </c>
      <c r="H68" s="1">
        <v>1</v>
      </c>
      <c r="M68" s="1">
        <v>-11</v>
      </c>
      <c r="N68" s="1">
        <v>1</v>
      </c>
      <c r="U68" s="1">
        <v>-11</v>
      </c>
      <c r="V68" s="1">
        <v>1</v>
      </c>
      <c r="BI68" s="6"/>
      <c r="BJ68" s="1" t="s">
        <v>11</v>
      </c>
      <c r="BL68" s="1">
        <v>7</v>
      </c>
      <c r="BM68" s="1" t="str">
        <v>Célian</v>
      </c>
      <c r="BN68" s="1" t="str">
        <v>6.005</v>
      </c>
      <c r="BO68" s="1">
        <v>205</v>
      </c>
      <c r="BQ68" s="1">
        <v>7</v>
      </c>
      <c r="BR68" s="1" t="str">
        <v>Aurélien</v>
      </c>
      <c r="BS68" s="1" t="str">
        <v>2.800</v>
      </c>
      <c r="BT68" s="1">
        <v>5</v>
      </c>
      <c r="BV68" s="1" t="str">
        <v>Célian</v>
      </c>
      <c r="BW68" s="1">
        <v>6.0048780487804878</v>
      </c>
    </row>
    <row r="69" spans="1:75" x14ac:dyDescent="0.3">
      <c r="A69" s="1" t="s">
        <v>7</v>
      </c>
      <c r="B69" s="1">
        <v>71</v>
      </c>
      <c r="C69" s="1">
        <v>31</v>
      </c>
      <c r="D69" s="1">
        <v>5</v>
      </c>
      <c r="G69" s="1">
        <v>25</v>
      </c>
      <c r="H69" s="1">
        <v>5</v>
      </c>
      <c r="U69" s="1">
        <v>41</v>
      </c>
      <c r="V69" s="1">
        <v>5</v>
      </c>
      <c r="AW69" s="1">
        <v>14</v>
      </c>
      <c r="AX69" s="1">
        <v>5</v>
      </c>
      <c r="BL69" s="1">
        <v>8</v>
      </c>
      <c r="BM69" s="1" t="str">
        <v>Samuel</v>
      </c>
      <c r="BN69" s="1" t="str">
        <v>5.910</v>
      </c>
      <c r="BO69" s="1">
        <v>211</v>
      </c>
      <c r="BQ69" s="1">
        <v>8</v>
      </c>
      <c r="BR69" s="1" t="str">
        <v>Maxime_Go</v>
      </c>
      <c r="BS69" s="1" t="str">
        <v>0.727</v>
      </c>
      <c r="BT69" s="1">
        <v>11</v>
      </c>
      <c r="BV69" s="1" t="str">
        <v>Samuel</v>
      </c>
      <c r="BW69" s="1">
        <v>5.9099526066350707</v>
      </c>
    </row>
    <row r="70" spans="1:75" x14ac:dyDescent="0.3">
      <c r="A70" s="15" t="s">
        <v>7</v>
      </c>
      <c r="B70" s="15">
        <v>70</v>
      </c>
      <c r="C70" s="15">
        <v>79</v>
      </c>
      <c r="D70" s="15">
        <v>16</v>
      </c>
      <c r="E70" s="15">
        <v>99</v>
      </c>
      <c r="F70" s="15">
        <v>16</v>
      </c>
      <c r="G70" s="15">
        <v>139</v>
      </c>
      <c r="H70" s="15">
        <v>16</v>
      </c>
      <c r="I70" s="15"/>
      <c r="J70" s="15"/>
      <c r="K70" s="15"/>
      <c r="L70" s="15"/>
      <c r="M70" s="15">
        <v>4</v>
      </c>
      <c r="N70" s="15">
        <v>4</v>
      </c>
      <c r="O70" s="15"/>
      <c r="P70" s="15"/>
      <c r="Q70" s="15"/>
      <c r="R70" s="15"/>
      <c r="S70" s="15"/>
      <c r="T70" s="15"/>
      <c r="U70" s="15"/>
      <c r="V70" s="15"/>
      <c r="W70" s="15">
        <v>-9</v>
      </c>
      <c r="X70" s="15">
        <v>16</v>
      </c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I70" s="7"/>
      <c r="BJ70" s="1" t="s">
        <v>14</v>
      </c>
      <c r="BL70" s="1">
        <v>9</v>
      </c>
      <c r="BM70" s="1" t="str">
        <v>Mehdi</v>
      </c>
      <c r="BN70" s="1" t="str">
        <v>5.770</v>
      </c>
      <c r="BO70" s="1">
        <v>421</v>
      </c>
      <c r="BQ70" s="1">
        <v>9</v>
      </c>
      <c r="BR70" s="1" t="str">
        <v>Robin</v>
      </c>
      <c r="BS70" s="1" t="str">
        <v>-0.083</v>
      </c>
      <c r="BT70" s="1">
        <v>12</v>
      </c>
      <c r="BV70" s="1" t="str">
        <v>Mehdi</v>
      </c>
      <c r="BW70" s="1">
        <v>5.7695961995249405</v>
      </c>
    </row>
    <row r="71" spans="1:75" x14ac:dyDescent="0.3">
      <c r="A71" s="15" t="s">
        <v>7</v>
      </c>
      <c r="B71" s="15">
        <v>69</v>
      </c>
      <c r="C71" s="15">
        <v>80</v>
      </c>
      <c r="D71" s="15">
        <v>12</v>
      </c>
      <c r="E71" s="15">
        <v>97</v>
      </c>
      <c r="F71" s="15">
        <v>12</v>
      </c>
      <c r="G71" s="15">
        <v>43</v>
      </c>
      <c r="H71" s="15">
        <v>12</v>
      </c>
      <c r="I71" s="15"/>
      <c r="J71" s="15"/>
      <c r="K71" s="15"/>
      <c r="L71" s="15"/>
      <c r="M71" s="15">
        <v>59</v>
      </c>
      <c r="N71" s="15">
        <v>12</v>
      </c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BI71" s="8"/>
      <c r="BJ71" s="1" t="s">
        <v>13</v>
      </c>
      <c r="BL71" s="1">
        <v>10</v>
      </c>
      <c r="BM71" s="1" t="str">
        <v>Achille</v>
      </c>
      <c r="BN71" s="1" t="str">
        <v>5.365</v>
      </c>
      <c r="BO71" s="1">
        <v>816</v>
      </c>
      <c r="BV71" s="1" t="str">
        <v>Achille</v>
      </c>
      <c r="BW71" s="1">
        <v>5.3651960784313726</v>
      </c>
    </row>
    <row r="72" spans="1:75" x14ac:dyDescent="0.3">
      <c r="A72" s="15" t="s">
        <v>7</v>
      </c>
      <c r="B72" s="15">
        <v>68</v>
      </c>
      <c r="C72" s="15">
        <v>50</v>
      </c>
      <c r="D72" s="15">
        <v>8</v>
      </c>
      <c r="E72" s="15">
        <v>39</v>
      </c>
      <c r="F72" s="15">
        <v>8</v>
      </c>
      <c r="G72" s="15">
        <v>64</v>
      </c>
      <c r="H72" s="15">
        <v>8</v>
      </c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>
        <v>6</v>
      </c>
      <c r="T72" s="15">
        <v>8</v>
      </c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I72" s="9"/>
      <c r="BJ72" s="1" t="s">
        <v>10</v>
      </c>
      <c r="BL72" s="1">
        <v>11</v>
      </c>
      <c r="BM72" s="1" t="str">
        <v>Damien</v>
      </c>
      <c r="BN72" s="1" t="str">
        <v>5.359</v>
      </c>
      <c r="BO72" s="1">
        <v>535</v>
      </c>
      <c r="BV72" s="1" t="str">
        <v>Damien</v>
      </c>
      <c r="BW72" s="1">
        <v>5.3588785046728971</v>
      </c>
    </row>
    <row r="73" spans="1:75" x14ac:dyDescent="0.3">
      <c r="A73" s="15" t="s">
        <v>7</v>
      </c>
      <c r="B73" s="15">
        <v>67</v>
      </c>
      <c r="C73" s="15">
        <v>19</v>
      </c>
      <c r="D73" s="15">
        <v>3</v>
      </c>
      <c r="E73" s="15"/>
      <c r="F73" s="15"/>
      <c r="G73" s="15">
        <v>8</v>
      </c>
      <c r="H73" s="15">
        <v>3</v>
      </c>
      <c r="I73" s="15">
        <v>19</v>
      </c>
      <c r="J73" s="15">
        <v>3</v>
      </c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>
        <v>8</v>
      </c>
      <c r="AT73" s="15">
        <v>3</v>
      </c>
      <c r="AU73" s="15"/>
      <c r="AV73" s="15"/>
      <c r="AW73" s="15"/>
      <c r="AX73" s="15"/>
      <c r="AY73" s="15"/>
      <c r="BL73" s="1">
        <v>12</v>
      </c>
      <c r="BM73" s="1" t="str">
        <v>Paul</v>
      </c>
      <c r="BN73" s="1" t="str">
        <v>4.813</v>
      </c>
      <c r="BO73" s="1">
        <v>32</v>
      </c>
      <c r="BV73" s="1" t="str">
        <v>Paul</v>
      </c>
      <c r="BW73" s="1">
        <v>4.8125</v>
      </c>
    </row>
    <row r="74" spans="1:75" x14ac:dyDescent="0.3">
      <c r="A74" s="15" t="s">
        <v>7</v>
      </c>
      <c r="B74" s="15">
        <v>66</v>
      </c>
      <c r="C74" s="15">
        <v>13</v>
      </c>
      <c r="D74" s="15">
        <v>3</v>
      </c>
      <c r="E74" s="15"/>
      <c r="F74" s="15"/>
      <c r="G74" s="15">
        <v>54</v>
      </c>
      <c r="H74" s="15">
        <v>3</v>
      </c>
      <c r="I74" s="15">
        <v>0</v>
      </c>
      <c r="J74" s="15">
        <v>1</v>
      </c>
      <c r="K74" s="15"/>
      <c r="L74" s="15"/>
      <c r="M74" s="15">
        <v>17</v>
      </c>
      <c r="N74" s="15">
        <v>3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>
        <v>0</v>
      </c>
      <c r="AF74" s="15">
        <v>2</v>
      </c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BI74" s="1" t="s">
        <v>1</v>
      </c>
      <c r="BJ74" s="1">
        <f>AVERAGE(C1:BF1)</f>
        <v>5.0857255139381792</v>
      </c>
      <c r="BL74" s="1">
        <v>13</v>
      </c>
      <c r="BM74" s="1" t="str">
        <v>Jules</v>
      </c>
      <c r="BN74" s="1" t="str">
        <v>4.750</v>
      </c>
      <c r="BO74" s="1">
        <v>116</v>
      </c>
      <c r="BV74" s="1" t="str">
        <v>Jules</v>
      </c>
      <c r="BW74" s="1">
        <v>4.75</v>
      </c>
    </row>
    <row r="75" spans="1:75" x14ac:dyDescent="0.3">
      <c r="A75" s="15" t="s">
        <v>7</v>
      </c>
      <c r="B75" s="15">
        <v>65</v>
      </c>
      <c r="C75" s="15"/>
      <c r="D75" s="15"/>
      <c r="E75" s="15"/>
      <c r="F75" s="15"/>
      <c r="G75" s="15">
        <v>70</v>
      </c>
      <c r="H75" s="15">
        <v>8</v>
      </c>
      <c r="I75" s="15">
        <v>-9</v>
      </c>
      <c r="J75" s="15">
        <v>8</v>
      </c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>
        <v>81</v>
      </c>
      <c r="V75" s="15">
        <v>8</v>
      </c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>
        <v>0</v>
      </c>
      <c r="AT75" s="15">
        <v>8</v>
      </c>
      <c r="AU75" s="15"/>
      <c r="AV75" s="15"/>
      <c r="AW75" s="15"/>
      <c r="AX75" s="15"/>
      <c r="AY75" s="15"/>
      <c r="BL75" s="1">
        <v>14</v>
      </c>
      <c r="BM75" s="1" t="str">
        <v>Quentin</v>
      </c>
      <c r="BN75" s="1" t="str">
        <v>4.635</v>
      </c>
      <c r="BO75" s="1">
        <v>63</v>
      </c>
      <c r="BV75" s="1" t="str">
        <v>Quentin</v>
      </c>
      <c r="BW75" s="1">
        <v>4.6349206349206353</v>
      </c>
    </row>
    <row r="76" spans="1:75" x14ac:dyDescent="0.3">
      <c r="A76" s="15" t="s">
        <v>23</v>
      </c>
      <c r="B76" s="15">
        <v>64</v>
      </c>
      <c r="C76" s="15">
        <v>38</v>
      </c>
      <c r="D76" s="15">
        <v>7</v>
      </c>
      <c r="E76" s="15">
        <v>96</v>
      </c>
      <c r="F76" s="15">
        <v>8</v>
      </c>
      <c r="G76" s="15">
        <v>38</v>
      </c>
      <c r="H76" s="15">
        <v>8</v>
      </c>
      <c r="I76" s="15">
        <v>25</v>
      </c>
      <c r="J76" s="15">
        <v>8</v>
      </c>
      <c r="K76" s="15"/>
      <c r="L76" s="15"/>
      <c r="M76" s="15"/>
      <c r="N76" s="15"/>
      <c r="O76" s="15"/>
      <c r="P76" s="15"/>
      <c r="Q76" s="15">
        <v>25</v>
      </c>
      <c r="R76" s="15">
        <v>5</v>
      </c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BL76" s="1">
        <v>15</v>
      </c>
      <c r="BM76" s="1" t="str">
        <v>Marie</v>
      </c>
      <c r="BN76" s="1" t="str">
        <v>4.121</v>
      </c>
      <c r="BO76" s="1">
        <v>195</v>
      </c>
      <c r="BV76" s="1" t="str">
        <v>Marie</v>
      </c>
      <c r="BW76" s="1">
        <v>4.1205128205128201</v>
      </c>
    </row>
    <row r="77" spans="1:75" x14ac:dyDescent="0.3">
      <c r="A77" s="15" t="s">
        <v>23</v>
      </c>
      <c r="B77" s="15">
        <v>63</v>
      </c>
      <c r="C77" s="15">
        <v>13</v>
      </c>
      <c r="D77" s="15">
        <v>1</v>
      </c>
      <c r="E77" s="15"/>
      <c r="F77" s="15"/>
      <c r="G77" s="15"/>
      <c r="H77" s="15"/>
      <c r="I77" s="15">
        <v>0</v>
      </c>
      <c r="J77" s="15">
        <v>1</v>
      </c>
      <c r="K77" s="15"/>
      <c r="L77" s="15"/>
      <c r="M77" s="15"/>
      <c r="N77" s="15"/>
      <c r="O77" s="15"/>
      <c r="P77" s="15"/>
      <c r="Q77" s="15">
        <v>13</v>
      </c>
      <c r="R77" s="15">
        <v>1</v>
      </c>
      <c r="S77" s="15"/>
      <c r="T77" s="15"/>
      <c r="U77" s="15"/>
      <c r="V77" s="15"/>
      <c r="W77" s="15">
        <v>0</v>
      </c>
      <c r="X77" s="15">
        <v>1</v>
      </c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J77" s="1" t="s">
        <v>15</v>
      </c>
      <c r="BL77" s="1">
        <v>16</v>
      </c>
      <c r="BM77" s="1" t="str">
        <v>Luca</v>
      </c>
      <c r="BN77" s="1" t="str">
        <v>3.019</v>
      </c>
      <c r="BO77" s="1">
        <v>156</v>
      </c>
      <c r="BV77" s="1" t="str">
        <v>Luca</v>
      </c>
      <c r="BW77" s="1">
        <v>3.0192307692307692</v>
      </c>
    </row>
    <row r="78" spans="1:75" x14ac:dyDescent="0.3">
      <c r="A78" s="15" t="s">
        <v>7</v>
      </c>
      <c r="B78" s="15">
        <v>62</v>
      </c>
      <c r="C78" s="15">
        <v>118</v>
      </c>
      <c r="D78" s="15">
        <v>24</v>
      </c>
      <c r="E78" s="15">
        <v>103</v>
      </c>
      <c r="F78" s="15">
        <v>24</v>
      </c>
      <c r="G78" s="15">
        <v>102</v>
      </c>
      <c r="H78" s="15">
        <v>24</v>
      </c>
      <c r="I78" s="15">
        <v>0</v>
      </c>
      <c r="J78" s="15">
        <v>4</v>
      </c>
      <c r="K78" s="15"/>
      <c r="L78" s="15"/>
      <c r="M78" s="15"/>
      <c r="N78" s="15"/>
      <c r="O78" s="15">
        <v>225</v>
      </c>
      <c r="P78" s="15">
        <v>23</v>
      </c>
      <c r="Q78" s="15"/>
      <c r="R78" s="15"/>
      <c r="S78" s="15"/>
      <c r="T78" s="15"/>
      <c r="U78" s="15"/>
      <c r="V78" s="15"/>
      <c r="W78" s="15">
        <v>11</v>
      </c>
      <c r="X78" s="15">
        <v>1</v>
      </c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I78" s="11"/>
      <c r="BJ78" s="1" t="s">
        <v>38</v>
      </c>
      <c r="BL78" s="1">
        <v>17</v>
      </c>
      <c r="BM78" s="1" t="str">
        <v>Fantinne</v>
      </c>
      <c r="BN78" s="1" t="str">
        <v>2.961</v>
      </c>
      <c r="BO78" s="1">
        <v>51</v>
      </c>
      <c r="BV78" s="1" t="str">
        <v>Fantinne</v>
      </c>
      <c r="BW78" s="1">
        <v>2.9607843137254903</v>
      </c>
    </row>
    <row r="79" spans="1:75" x14ac:dyDescent="0.3">
      <c r="A79" s="15" t="s">
        <v>7</v>
      </c>
      <c r="B79" s="15">
        <v>61</v>
      </c>
      <c r="C79" s="15"/>
      <c r="D79" s="15"/>
      <c r="E79" s="15">
        <v>11</v>
      </c>
      <c r="F79" s="15">
        <v>4</v>
      </c>
      <c r="G79" s="15"/>
      <c r="H79" s="15"/>
      <c r="I79" s="15"/>
      <c r="J79" s="15"/>
      <c r="K79" s="15"/>
      <c r="L79" s="15"/>
      <c r="M79" s="15">
        <v>46</v>
      </c>
      <c r="N79" s="15">
        <v>4</v>
      </c>
      <c r="O79" s="15">
        <v>45</v>
      </c>
      <c r="P79" s="15">
        <v>4</v>
      </c>
      <c r="Q79" s="15">
        <v>0</v>
      </c>
      <c r="R79" s="15">
        <v>4</v>
      </c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I79" s="14"/>
      <c r="BJ79" s="1" t="s">
        <v>17</v>
      </c>
      <c r="BL79" s="1">
        <v>18</v>
      </c>
      <c r="BM79" s="1" t="str">
        <v>Joey</v>
      </c>
      <c r="BN79" s="1" t="str">
        <v>2.565</v>
      </c>
      <c r="BO79" s="1">
        <v>46</v>
      </c>
      <c r="BV79" s="1" t="str">
        <v>Joey</v>
      </c>
      <c r="BW79" s="1">
        <v>2.5652173913043477</v>
      </c>
    </row>
    <row r="80" spans="1:75" x14ac:dyDescent="0.3">
      <c r="A80" s="15" t="s">
        <v>7</v>
      </c>
      <c r="B80" s="15">
        <v>60</v>
      </c>
      <c r="C80" s="15">
        <v>106</v>
      </c>
      <c r="D80" s="15">
        <v>12</v>
      </c>
      <c r="E80" s="15"/>
      <c r="F80" s="15"/>
      <c r="G80" s="15">
        <v>88</v>
      </c>
      <c r="H80" s="15">
        <v>12</v>
      </c>
      <c r="I80" s="15"/>
      <c r="J80" s="15"/>
      <c r="K80" s="15"/>
      <c r="L80" s="15"/>
      <c r="M80" s="15">
        <v>31</v>
      </c>
      <c r="N80" s="15">
        <v>12</v>
      </c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>
        <v>8</v>
      </c>
      <c r="AD80" s="15">
        <v>4</v>
      </c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>
        <v>-1</v>
      </c>
      <c r="AP80" s="15">
        <v>12</v>
      </c>
      <c r="AQ80" s="15"/>
      <c r="AR80" s="15"/>
      <c r="AS80" s="15"/>
      <c r="AT80" s="15"/>
      <c r="AU80" s="15"/>
      <c r="AV80" s="15"/>
      <c r="AW80" s="15"/>
      <c r="AX80" s="15"/>
      <c r="AY80" s="15"/>
      <c r="BI80" s="13"/>
      <c r="BJ80" s="1" t="s">
        <v>18</v>
      </c>
      <c r="BL80" s="1">
        <v>19</v>
      </c>
      <c r="BM80" s="1" t="str">
        <v>Loulou</v>
      </c>
      <c r="BN80" s="1" t="str">
        <v>2.075</v>
      </c>
      <c r="BO80" s="1">
        <v>67</v>
      </c>
      <c r="BV80" s="1" t="str">
        <v>Loulou</v>
      </c>
      <c r="BW80" s="1">
        <v>2.0746268656716418</v>
      </c>
    </row>
    <row r="81" spans="1:77" x14ac:dyDescent="0.3">
      <c r="A81" s="15" t="s">
        <v>7</v>
      </c>
      <c r="B81" s="15">
        <v>59</v>
      </c>
      <c r="C81" s="15"/>
      <c r="D81" s="15"/>
      <c r="E81" s="15">
        <v>129</v>
      </c>
      <c r="F81" s="15">
        <v>10</v>
      </c>
      <c r="G81" s="15"/>
      <c r="H81" s="15"/>
      <c r="I81" s="15">
        <v>17</v>
      </c>
      <c r="J81" s="15">
        <v>10</v>
      </c>
      <c r="K81" s="15">
        <v>-41</v>
      </c>
      <c r="L81" s="15">
        <v>10</v>
      </c>
      <c r="M81" s="15">
        <v>62</v>
      </c>
      <c r="N81" s="15">
        <v>10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I81" s="12"/>
      <c r="BJ81" s="1" t="s">
        <v>16</v>
      </c>
      <c r="BV81" s="1" t="str">
        <v>Harrison</v>
      </c>
      <c r="BW81" s="1" t="str">
        <v>/</v>
      </c>
    </row>
    <row r="82" spans="1:77" x14ac:dyDescent="0.3">
      <c r="A82" s="15" t="s">
        <v>7</v>
      </c>
      <c r="B82" s="15">
        <v>58</v>
      </c>
      <c r="C82" s="15"/>
      <c r="D82" s="15"/>
      <c r="E82" s="15">
        <v>49</v>
      </c>
      <c r="F82" s="15">
        <v>14</v>
      </c>
      <c r="G82" s="15">
        <v>60</v>
      </c>
      <c r="H82" s="15">
        <v>14</v>
      </c>
      <c r="I82" s="15">
        <v>94</v>
      </c>
      <c r="J82" s="15">
        <v>14</v>
      </c>
      <c r="K82" s="15"/>
      <c r="L82" s="15"/>
      <c r="M82" s="15"/>
      <c r="N82" s="15"/>
      <c r="O82" s="15"/>
      <c r="P82" s="15"/>
      <c r="Q82" s="15">
        <v>70</v>
      </c>
      <c r="R82" s="15">
        <v>14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 t="str">
        <v>Pascale</v>
      </c>
      <c r="BW82" s="1" t="str">
        <v>/</v>
      </c>
    </row>
    <row r="83" spans="1:77" x14ac:dyDescent="0.3">
      <c r="A83" s="15" t="s">
        <v>7</v>
      </c>
      <c r="B83" s="15">
        <v>57</v>
      </c>
      <c r="C83" s="15"/>
      <c r="D83" s="15"/>
      <c r="E83" s="15">
        <v>67</v>
      </c>
      <c r="F83" s="15">
        <v>4</v>
      </c>
      <c r="G83" s="15">
        <v>36</v>
      </c>
      <c r="H83" s="15">
        <v>4</v>
      </c>
      <c r="I83" s="15">
        <v>16</v>
      </c>
      <c r="J83" s="15">
        <v>2</v>
      </c>
      <c r="K83" s="15"/>
      <c r="L83" s="15"/>
      <c r="M83" s="15">
        <v>-24</v>
      </c>
      <c r="N83" s="15">
        <v>3</v>
      </c>
      <c r="O83" s="15"/>
      <c r="P83" s="15"/>
      <c r="Q83" s="15">
        <v>31</v>
      </c>
      <c r="R83" s="15">
        <v>3</v>
      </c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 t="str">
        <v>Robin</v>
      </c>
      <c r="BW83" s="1" t="str">
        <v>/</v>
      </c>
    </row>
    <row r="84" spans="1:77" x14ac:dyDescent="0.3">
      <c r="A84" s="15" t="s">
        <v>7</v>
      </c>
      <c r="B84" s="15">
        <v>56</v>
      </c>
      <c r="C84" s="15"/>
      <c r="D84" s="15"/>
      <c r="E84" s="15"/>
      <c r="F84" s="15"/>
      <c r="G84" s="15">
        <v>66</v>
      </c>
      <c r="H84" s="15">
        <v>8</v>
      </c>
      <c r="I84" s="15"/>
      <c r="J84" s="15"/>
      <c r="K84" s="15"/>
      <c r="L84" s="15"/>
      <c r="M84" s="15">
        <v>50</v>
      </c>
      <c r="N84" s="15">
        <v>8</v>
      </c>
      <c r="O84" s="15"/>
      <c r="P84" s="15"/>
      <c r="Q84" s="15">
        <v>73</v>
      </c>
      <c r="R84" s="15">
        <v>8</v>
      </c>
      <c r="S84" s="15">
        <v>27</v>
      </c>
      <c r="T84" s="15">
        <v>8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>
        <v>21</v>
      </c>
      <c r="AN84" s="15">
        <v>8</v>
      </c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V84" s="1" t="str">
        <v>Maxime_Go</v>
      </c>
      <c r="BW84" s="1" t="str">
        <v>/</v>
      </c>
    </row>
    <row r="85" spans="1:77" x14ac:dyDescent="0.3">
      <c r="A85" s="15" t="s">
        <v>25</v>
      </c>
      <c r="B85" s="15" t="s">
        <v>26</v>
      </c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V85" s="1" t="str">
        <v>Maxime_Ca</v>
      </c>
      <c r="BW85" s="1" t="str">
        <v>/</v>
      </c>
    </row>
    <row r="86" spans="1:77" x14ac:dyDescent="0.3">
      <c r="A86" s="15" t="s">
        <v>7</v>
      </c>
      <c r="B86" s="15">
        <v>55</v>
      </c>
      <c r="C86" s="15">
        <v>100</v>
      </c>
      <c r="D86" s="15">
        <v>16</v>
      </c>
      <c r="E86" s="15"/>
      <c r="F86" s="15"/>
      <c r="G86" s="15">
        <v>188</v>
      </c>
      <c r="H86" s="15">
        <v>16</v>
      </c>
      <c r="I86" s="15"/>
      <c r="J86" s="15"/>
      <c r="K86" s="15"/>
      <c r="L86" s="15"/>
      <c r="M86" s="15">
        <v>34</v>
      </c>
      <c r="N86" s="15">
        <v>16</v>
      </c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>
        <v>60</v>
      </c>
      <c r="AR86" s="15">
        <v>16</v>
      </c>
      <c r="AS86" s="15"/>
      <c r="AT86" s="15"/>
      <c r="AU86" s="15"/>
      <c r="AV86" s="15"/>
      <c r="AW86" s="15"/>
      <c r="AX86" s="15"/>
      <c r="AY86" s="15"/>
      <c r="BV86" s="1" t="str">
        <v>Aurélien</v>
      </c>
      <c r="BW86" s="1" t="str">
        <v>/</v>
      </c>
    </row>
    <row r="87" spans="1:77" x14ac:dyDescent="0.3">
      <c r="A87" s="15" t="s">
        <v>7</v>
      </c>
      <c r="B87" s="15">
        <v>54</v>
      </c>
      <c r="C87" s="15">
        <v>23</v>
      </c>
      <c r="D87" s="15">
        <v>5</v>
      </c>
      <c r="E87" s="15">
        <v>29</v>
      </c>
      <c r="F87" s="15">
        <v>6</v>
      </c>
      <c r="G87" s="15">
        <v>25</v>
      </c>
      <c r="H87" s="15">
        <v>5</v>
      </c>
      <c r="I87" s="15">
        <v>42</v>
      </c>
      <c r="J87" s="15">
        <v>6</v>
      </c>
      <c r="K87" s="15"/>
      <c r="L87" s="15"/>
      <c r="M87" s="15">
        <v>-14</v>
      </c>
      <c r="N87" s="15">
        <v>2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V87" s="1" t="str">
        <v>Émile</v>
      </c>
      <c r="BW87" s="1" t="str">
        <v>/</v>
      </c>
    </row>
    <row r="88" spans="1:77" x14ac:dyDescent="0.3">
      <c r="A88" s="15" t="s">
        <v>7</v>
      </c>
      <c r="B88" s="15">
        <v>53</v>
      </c>
      <c r="C88" s="15">
        <v>45</v>
      </c>
      <c r="D88" s="15">
        <v>8</v>
      </c>
      <c r="E88" s="15"/>
      <c r="F88" s="15"/>
      <c r="G88" s="15">
        <v>68</v>
      </c>
      <c r="H88" s="15">
        <v>8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>
        <v>-4</v>
      </c>
      <c r="AB88" s="15">
        <v>8</v>
      </c>
      <c r="AC88" s="15"/>
      <c r="AD88" s="15"/>
      <c r="AE88" s="15"/>
      <c r="AF88" s="15"/>
      <c r="AG88" s="15">
        <v>91</v>
      </c>
      <c r="AH88" s="15">
        <v>8</v>
      </c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 t="str">
        <v>Amélie</v>
      </c>
      <c r="BW88" s="1" t="str">
        <v>/</v>
      </c>
    </row>
    <row r="89" spans="1:77" x14ac:dyDescent="0.3">
      <c r="A89" s="15" t="s">
        <v>7</v>
      </c>
      <c r="B89" s="15">
        <v>52</v>
      </c>
      <c r="C89" s="15"/>
      <c r="D89" s="15"/>
      <c r="E89" s="15"/>
      <c r="F89" s="15"/>
      <c r="G89" s="15">
        <v>94</v>
      </c>
      <c r="H89" s="15">
        <v>16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>
        <v>42</v>
      </c>
      <c r="V89" s="15">
        <v>16</v>
      </c>
      <c r="W89" s="15"/>
      <c r="X89" s="15"/>
      <c r="Y89" s="15"/>
      <c r="Z89" s="15"/>
      <c r="AA89" s="15">
        <v>75</v>
      </c>
      <c r="AB89" s="15">
        <v>16</v>
      </c>
      <c r="AC89" s="15"/>
      <c r="AD89" s="15"/>
      <c r="AE89" s="15"/>
      <c r="AF89" s="15"/>
      <c r="AG89" s="15">
        <v>64</v>
      </c>
      <c r="AH89" s="15">
        <v>16</v>
      </c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 t="str">
        <v>Stanislas</v>
      </c>
      <c r="BW89" s="1" t="str">
        <v>/</v>
      </c>
    </row>
    <row r="90" spans="1:77" x14ac:dyDescent="0.3">
      <c r="A90" s="15" t="s">
        <v>7</v>
      </c>
      <c r="B90" s="15">
        <v>51</v>
      </c>
      <c r="C90" s="15">
        <v>37</v>
      </c>
      <c r="D90" s="15">
        <v>14</v>
      </c>
      <c r="E90" s="15"/>
      <c r="F90" s="15"/>
      <c r="G90" s="15">
        <v>105</v>
      </c>
      <c r="H90" s="15">
        <v>14</v>
      </c>
      <c r="I90" s="15"/>
      <c r="J90" s="15"/>
      <c r="K90" s="15"/>
      <c r="L90" s="15"/>
      <c r="M90" s="15">
        <v>84</v>
      </c>
      <c r="N90" s="15">
        <v>14</v>
      </c>
      <c r="O90" s="15"/>
      <c r="P90" s="15"/>
      <c r="Q90" s="15"/>
      <c r="R90" s="15"/>
      <c r="S90" s="15">
        <v>91</v>
      </c>
      <c r="T90" s="15">
        <v>14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</row>
    <row r="91" spans="1:77" x14ac:dyDescent="0.3">
      <c r="A91" s="15" t="s">
        <v>7</v>
      </c>
      <c r="B91" s="15">
        <v>50</v>
      </c>
      <c r="C91" s="15">
        <v>32</v>
      </c>
      <c r="D91" s="15">
        <v>7</v>
      </c>
      <c r="E91" s="15"/>
      <c r="F91" s="15"/>
      <c r="G91" s="15">
        <v>50</v>
      </c>
      <c r="H91" s="15">
        <v>7</v>
      </c>
      <c r="I91" s="15"/>
      <c r="J91" s="15"/>
      <c r="K91" s="15"/>
      <c r="L91" s="15"/>
      <c r="M91" s="15">
        <v>40</v>
      </c>
      <c r="N91" s="15">
        <v>7</v>
      </c>
      <c r="O91" s="15"/>
      <c r="P91" s="15"/>
      <c r="Q91" s="15"/>
      <c r="R91" s="15"/>
      <c r="S91" s="15">
        <v>38</v>
      </c>
      <c r="T91" s="15">
        <v>7</v>
      </c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</row>
    <row r="92" spans="1:77" x14ac:dyDescent="0.3">
      <c r="A92" s="15" t="s">
        <v>7</v>
      </c>
      <c r="B92" s="15">
        <v>49</v>
      </c>
      <c r="C92" s="15">
        <v>47</v>
      </c>
      <c r="D92" s="15">
        <v>9</v>
      </c>
      <c r="E92" s="15"/>
      <c r="F92" s="15"/>
      <c r="G92" s="15">
        <v>94</v>
      </c>
      <c r="H92" s="15">
        <v>9</v>
      </c>
      <c r="I92" s="15"/>
      <c r="J92" s="15"/>
      <c r="K92" s="15">
        <v>13</v>
      </c>
      <c r="L92" s="15">
        <v>2</v>
      </c>
      <c r="M92" s="15">
        <v>47</v>
      </c>
      <c r="N92" s="15">
        <v>7</v>
      </c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>
        <v>14</v>
      </c>
      <c r="AB92" s="15">
        <v>9</v>
      </c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</row>
    <row r="93" spans="1:77" x14ac:dyDescent="0.3">
      <c r="A93" s="15" t="s">
        <v>7</v>
      </c>
      <c r="B93" s="15">
        <v>48</v>
      </c>
      <c r="C93" s="15">
        <v>90</v>
      </c>
      <c r="D93" s="15">
        <v>7</v>
      </c>
      <c r="E93" s="15"/>
      <c r="F93" s="15"/>
      <c r="G93" s="15">
        <v>48</v>
      </c>
      <c r="H93" s="15">
        <v>7</v>
      </c>
      <c r="I93" s="15"/>
      <c r="J93" s="15"/>
      <c r="K93" s="15"/>
      <c r="L93" s="15"/>
      <c r="M93" s="15">
        <v>1</v>
      </c>
      <c r="N93" s="15">
        <v>7</v>
      </c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>
        <v>-4</v>
      </c>
      <c r="AB93" s="15">
        <v>7</v>
      </c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</row>
    <row r="94" spans="1:77" x14ac:dyDescent="0.3">
      <c r="A94" s="15" t="s">
        <v>7</v>
      </c>
      <c r="B94" s="15">
        <v>47</v>
      </c>
      <c r="C94" s="15">
        <v>87</v>
      </c>
      <c r="D94" s="15">
        <v>5</v>
      </c>
      <c r="E94" s="15"/>
      <c r="F94" s="15"/>
      <c r="G94" s="15">
        <v>11</v>
      </c>
      <c r="H94" s="15">
        <v>5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>
        <v>21</v>
      </c>
      <c r="V94" s="15">
        <v>5</v>
      </c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>
        <v>21</v>
      </c>
      <c r="AH94" s="15">
        <v>5</v>
      </c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 cm="1">
        <f t="array" ref="BV94:BY11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94" s="1" t="str">
        <v>Gauthier</v>
      </c>
      <c r="BX94" s="1">
        <v>7.6459999999999999</v>
      </c>
      <c r="BY94" s="1">
        <v>65</v>
      </c>
    </row>
    <row r="95" spans="1:77" x14ac:dyDescent="0.3">
      <c r="A95" s="15" t="s">
        <v>7</v>
      </c>
      <c r="B95" s="15">
        <v>46</v>
      </c>
      <c r="C95" s="15">
        <v>29</v>
      </c>
      <c r="D95" s="15">
        <v>12</v>
      </c>
      <c r="E95" s="15"/>
      <c r="F95" s="15"/>
      <c r="G95" s="15">
        <v>78</v>
      </c>
      <c r="H95" s="15">
        <v>13</v>
      </c>
      <c r="I95" s="15"/>
      <c r="J95" s="15"/>
      <c r="K95" s="15">
        <v>93</v>
      </c>
      <c r="L95" s="15">
        <v>12</v>
      </c>
      <c r="M95" s="15">
        <v>32</v>
      </c>
      <c r="N95" s="15">
        <v>11</v>
      </c>
      <c r="O95" s="15"/>
      <c r="P95" s="15"/>
      <c r="Q95" s="15"/>
      <c r="R95" s="15"/>
      <c r="S95" s="15">
        <v>119</v>
      </c>
      <c r="T95" s="15">
        <v>12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>
        <v>2</v>
      </c>
      <c r="BW95" s="1" t="str">
        <v>Boris</v>
      </c>
      <c r="BX95" s="1">
        <v>7.2039999999999997</v>
      </c>
      <c r="BY95" s="1">
        <v>973</v>
      </c>
    </row>
    <row r="96" spans="1:77" x14ac:dyDescent="0.3">
      <c r="A96" s="15" t="s">
        <v>7</v>
      </c>
      <c r="B96" s="15">
        <v>45</v>
      </c>
      <c r="C96" s="15">
        <v>102</v>
      </c>
      <c r="D96" s="15">
        <v>16</v>
      </c>
      <c r="E96" s="15"/>
      <c r="F96" s="15"/>
      <c r="G96" s="15">
        <v>138</v>
      </c>
      <c r="H96" s="15">
        <v>16</v>
      </c>
      <c r="I96" s="15"/>
      <c r="J96" s="15"/>
      <c r="K96" s="15">
        <v>51</v>
      </c>
      <c r="L96" s="15">
        <v>8</v>
      </c>
      <c r="M96" s="15">
        <v>5</v>
      </c>
      <c r="N96" s="15">
        <v>8</v>
      </c>
      <c r="O96" s="15"/>
      <c r="P96" s="15"/>
      <c r="Q96" s="15"/>
      <c r="R96" s="15"/>
      <c r="S96" s="15">
        <v>116</v>
      </c>
      <c r="T96" s="15">
        <v>16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3</v>
      </c>
      <c r="BW96" s="1" t="str">
        <v>Joachim</v>
      </c>
      <c r="BX96" s="1">
        <v>6.202</v>
      </c>
      <c r="BY96" s="1">
        <v>104</v>
      </c>
    </row>
    <row r="97" spans="1:77" x14ac:dyDescent="0.3">
      <c r="A97" s="15" t="s">
        <v>7</v>
      </c>
      <c r="B97" s="15">
        <v>44</v>
      </c>
      <c r="C97" s="15">
        <v>104</v>
      </c>
      <c r="D97" s="15">
        <v>20</v>
      </c>
      <c r="E97" s="15">
        <v>119</v>
      </c>
      <c r="F97" s="15">
        <v>20</v>
      </c>
      <c r="G97" s="15">
        <v>128</v>
      </c>
      <c r="H97" s="15">
        <v>20</v>
      </c>
      <c r="I97" s="15"/>
      <c r="J97" s="15"/>
      <c r="K97" s="15"/>
      <c r="L97" s="15"/>
      <c r="M97" s="15"/>
      <c r="N97" s="15"/>
      <c r="O97" s="15"/>
      <c r="P97" s="15"/>
      <c r="Q97" s="15">
        <v>143</v>
      </c>
      <c r="R97" s="15">
        <v>20</v>
      </c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4</v>
      </c>
      <c r="BW97" s="1" t="str">
        <v>Tom</v>
      </c>
      <c r="BX97" s="1">
        <v>6.109</v>
      </c>
      <c r="BY97" s="1">
        <v>193</v>
      </c>
    </row>
    <row r="98" spans="1:77" x14ac:dyDescent="0.3">
      <c r="A98" s="15" t="s">
        <v>7</v>
      </c>
      <c r="B98" s="15">
        <v>43</v>
      </c>
      <c r="C98" s="15">
        <v>-16</v>
      </c>
      <c r="D98" s="15">
        <v>9</v>
      </c>
      <c r="E98" s="15"/>
      <c r="F98" s="15"/>
      <c r="G98" s="15">
        <v>94</v>
      </c>
      <c r="H98" s="15">
        <v>9</v>
      </c>
      <c r="I98" s="15"/>
      <c r="J98" s="15"/>
      <c r="K98" s="15"/>
      <c r="L98" s="15"/>
      <c r="M98" s="15">
        <v>58</v>
      </c>
      <c r="N98" s="15">
        <v>9</v>
      </c>
      <c r="O98" s="15"/>
      <c r="P98" s="15"/>
      <c r="Q98" s="15"/>
      <c r="R98" s="15"/>
      <c r="S98" s="15">
        <v>66</v>
      </c>
      <c r="T98" s="15">
        <v>9</v>
      </c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BV98" s="1">
        <v>5</v>
      </c>
      <c r="BW98" s="1" t="str">
        <v>William</v>
      </c>
      <c r="BX98" s="1">
        <v>6.069</v>
      </c>
      <c r="BY98" s="1">
        <v>29</v>
      </c>
    </row>
    <row r="99" spans="1:77" x14ac:dyDescent="0.3">
      <c r="A99" s="15" t="s">
        <v>7</v>
      </c>
      <c r="B99" s="15">
        <v>42</v>
      </c>
      <c r="C99" s="15">
        <v>63</v>
      </c>
      <c r="D99" s="15">
        <v>13</v>
      </c>
      <c r="E99" s="15">
        <v>89</v>
      </c>
      <c r="F99" s="15">
        <v>13</v>
      </c>
      <c r="G99" s="15">
        <v>43</v>
      </c>
      <c r="H99" s="15">
        <v>13</v>
      </c>
      <c r="I99" s="15"/>
      <c r="J99" s="15"/>
      <c r="K99" s="15"/>
      <c r="L99" s="15"/>
      <c r="M99" s="15"/>
      <c r="N99" s="15"/>
      <c r="O99" s="15"/>
      <c r="P99" s="15"/>
      <c r="Q99" s="15">
        <v>60</v>
      </c>
      <c r="R99" s="15">
        <v>13</v>
      </c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>
        <v>6</v>
      </c>
      <c r="BW99" s="1" t="str">
        <v>Lou</v>
      </c>
      <c r="BX99" s="1">
        <v>6.0529999999999999</v>
      </c>
      <c r="BY99" s="1">
        <v>57</v>
      </c>
    </row>
    <row r="100" spans="1:77" x14ac:dyDescent="0.3">
      <c r="A100" s="15" t="s">
        <v>7</v>
      </c>
      <c r="B100" s="15">
        <v>41</v>
      </c>
      <c r="C100" s="15">
        <v>16</v>
      </c>
      <c r="D100" s="15">
        <v>6</v>
      </c>
      <c r="E100" s="15">
        <v>16</v>
      </c>
      <c r="F100" s="15">
        <v>6</v>
      </c>
      <c r="G100" s="15">
        <v>21</v>
      </c>
      <c r="H100" s="15">
        <v>6</v>
      </c>
      <c r="I100" s="15">
        <v>40</v>
      </c>
      <c r="J100" s="15">
        <v>6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>
        <v>7</v>
      </c>
      <c r="BW100" s="1" t="str">
        <v>Célian</v>
      </c>
      <c r="BX100" s="1">
        <v>6.0049999999999999</v>
      </c>
      <c r="BY100" s="1">
        <v>205</v>
      </c>
    </row>
    <row r="101" spans="1:77" x14ac:dyDescent="0.3">
      <c r="A101" s="15" t="s">
        <v>7</v>
      </c>
      <c r="B101" s="15">
        <v>40</v>
      </c>
      <c r="C101" s="15">
        <v>58</v>
      </c>
      <c r="D101" s="15">
        <v>8</v>
      </c>
      <c r="E101" s="15">
        <v>22</v>
      </c>
      <c r="F101" s="15">
        <v>8</v>
      </c>
      <c r="G101" s="15">
        <v>62</v>
      </c>
      <c r="H101" s="15">
        <v>8</v>
      </c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>
        <v>16</v>
      </c>
      <c r="AD101" s="15">
        <v>8</v>
      </c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>
        <v>22</v>
      </c>
      <c r="AZ101" s="15">
        <v>8</v>
      </c>
      <c r="BV101" s="1">
        <v>8</v>
      </c>
      <c r="BW101" s="1" t="str">
        <v>Samuel</v>
      </c>
      <c r="BX101" s="1">
        <v>5.91</v>
      </c>
      <c r="BY101" s="1">
        <v>211</v>
      </c>
    </row>
    <row r="102" spans="1:77" x14ac:dyDescent="0.3">
      <c r="A102" s="15" t="s">
        <v>7</v>
      </c>
      <c r="B102" s="15">
        <v>39</v>
      </c>
      <c r="C102" s="15">
        <v>38</v>
      </c>
      <c r="D102" s="15">
        <v>4</v>
      </c>
      <c r="E102" s="15">
        <v>46</v>
      </c>
      <c r="F102" s="15">
        <v>4</v>
      </c>
      <c r="G102" s="15">
        <v>-14</v>
      </c>
      <c r="H102" s="15">
        <v>3</v>
      </c>
      <c r="I102" s="15">
        <v>38</v>
      </c>
      <c r="J102" s="15">
        <v>4</v>
      </c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>
        <v>0</v>
      </c>
      <c r="AF102" s="15">
        <v>1</v>
      </c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9</v>
      </c>
      <c r="BW102" s="1" t="str">
        <v>Mehdi</v>
      </c>
      <c r="BX102" s="1">
        <v>5.77</v>
      </c>
      <c r="BY102" s="1">
        <v>421</v>
      </c>
    </row>
    <row r="103" spans="1:77" x14ac:dyDescent="0.3">
      <c r="A103" s="15" t="s">
        <v>7</v>
      </c>
      <c r="B103" s="15">
        <v>38</v>
      </c>
      <c r="C103" s="15">
        <v>47</v>
      </c>
      <c r="D103" s="15">
        <v>8</v>
      </c>
      <c r="E103" s="15"/>
      <c r="F103" s="15"/>
      <c r="G103" s="15">
        <v>46</v>
      </c>
      <c r="H103" s="15">
        <v>8</v>
      </c>
      <c r="I103" s="15"/>
      <c r="J103" s="15"/>
      <c r="K103" s="15">
        <v>65</v>
      </c>
      <c r="L103" s="15">
        <v>8</v>
      </c>
      <c r="M103" s="15"/>
      <c r="N103" s="15"/>
      <c r="O103" s="15">
        <v>47</v>
      </c>
      <c r="P103" s="15">
        <v>8</v>
      </c>
      <c r="Q103" s="15"/>
      <c r="R103" s="15"/>
      <c r="S103" s="15"/>
      <c r="T103" s="15"/>
      <c r="U103" s="15"/>
      <c r="V103" s="15"/>
      <c r="W103" s="15">
        <v>-8</v>
      </c>
      <c r="X103" s="15">
        <v>8</v>
      </c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V103" s="1">
        <v>10</v>
      </c>
      <c r="BW103" s="1" t="str">
        <v>Achille</v>
      </c>
      <c r="BX103" s="1">
        <v>5.3650000000000002</v>
      </c>
      <c r="BY103" s="1">
        <v>816</v>
      </c>
    </row>
    <row r="104" spans="1:77" x14ac:dyDescent="0.3">
      <c r="A104" s="15" t="s">
        <v>7</v>
      </c>
      <c r="B104" s="15">
        <v>37</v>
      </c>
      <c r="C104" s="15">
        <v>128</v>
      </c>
      <c r="D104" s="15">
        <v>20</v>
      </c>
      <c r="E104" s="15"/>
      <c r="F104" s="15"/>
      <c r="G104" s="15">
        <v>152</v>
      </c>
      <c r="H104" s="15">
        <v>20</v>
      </c>
      <c r="I104" s="15"/>
      <c r="J104" s="15"/>
      <c r="K104" s="15"/>
      <c r="L104" s="15"/>
      <c r="M104" s="15">
        <v>94</v>
      </c>
      <c r="N104" s="15">
        <v>20</v>
      </c>
      <c r="O104" s="15"/>
      <c r="P104" s="15"/>
      <c r="Q104" s="15">
        <v>121</v>
      </c>
      <c r="R104" s="15">
        <v>20</v>
      </c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>
        <v>11</v>
      </c>
      <c r="BW104" s="1" t="str">
        <v>Damien</v>
      </c>
      <c r="BX104" s="1">
        <v>5.359</v>
      </c>
      <c r="BY104" s="1">
        <v>535</v>
      </c>
    </row>
    <row r="105" spans="1:77" x14ac:dyDescent="0.3">
      <c r="A105" s="15" t="s">
        <v>7</v>
      </c>
      <c r="B105" s="15">
        <v>36</v>
      </c>
      <c r="C105" s="15">
        <v>68</v>
      </c>
      <c r="D105" s="15">
        <v>12</v>
      </c>
      <c r="E105" s="15">
        <v>45</v>
      </c>
      <c r="F105" s="15">
        <v>12</v>
      </c>
      <c r="G105" s="15"/>
      <c r="H105" s="15"/>
      <c r="I105" s="15"/>
      <c r="J105" s="15"/>
      <c r="K105" s="15">
        <v>49</v>
      </c>
      <c r="L105" s="15">
        <v>12</v>
      </c>
      <c r="M105" s="15">
        <v>98</v>
      </c>
      <c r="N105" s="15">
        <v>12</v>
      </c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12</v>
      </c>
      <c r="BW105" s="1" t="str">
        <v>Paul</v>
      </c>
      <c r="BX105" s="1">
        <v>4.8129999999999997</v>
      </c>
      <c r="BY105" s="1">
        <v>32</v>
      </c>
    </row>
    <row r="106" spans="1:77" x14ac:dyDescent="0.3">
      <c r="A106" s="15" t="s">
        <v>7</v>
      </c>
      <c r="B106" s="15">
        <v>35</v>
      </c>
      <c r="C106" s="15">
        <v>43</v>
      </c>
      <c r="D106" s="15">
        <v>12</v>
      </c>
      <c r="E106" s="15">
        <v>75</v>
      </c>
      <c r="F106" s="15">
        <v>12</v>
      </c>
      <c r="G106" s="15">
        <v>74</v>
      </c>
      <c r="H106" s="15">
        <v>12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13</v>
      </c>
      <c r="BW106" s="1" t="str">
        <v>Jules</v>
      </c>
      <c r="BX106" s="1">
        <v>4.75</v>
      </c>
      <c r="BY106" s="1">
        <v>116</v>
      </c>
    </row>
    <row r="107" spans="1:77" x14ac:dyDescent="0.3">
      <c r="A107" s="15" t="s">
        <v>7</v>
      </c>
      <c r="B107" s="15">
        <v>34</v>
      </c>
      <c r="C107" s="15"/>
      <c r="D107" s="15"/>
      <c r="E107" s="15">
        <v>24</v>
      </c>
      <c r="F107" s="15">
        <v>4</v>
      </c>
      <c r="G107" s="15">
        <v>27</v>
      </c>
      <c r="H107" s="15">
        <v>4</v>
      </c>
      <c r="I107" s="15"/>
      <c r="J107" s="15"/>
      <c r="K107" s="15"/>
      <c r="L107" s="15"/>
      <c r="M107" s="15">
        <v>-32</v>
      </c>
      <c r="N107" s="15">
        <v>4</v>
      </c>
      <c r="O107" s="15"/>
      <c r="P107" s="15"/>
      <c r="Q107" s="15">
        <v>68</v>
      </c>
      <c r="R107" s="15">
        <v>12</v>
      </c>
      <c r="S107" s="15">
        <v>56</v>
      </c>
      <c r="T107" s="15">
        <v>4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V107" s="1">
        <v>14</v>
      </c>
      <c r="BW107" s="1" t="str">
        <v>Quentin</v>
      </c>
      <c r="BX107" s="1">
        <v>4.6349999999999998</v>
      </c>
      <c r="BY107" s="1">
        <v>63</v>
      </c>
    </row>
    <row r="108" spans="1:77" x14ac:dyDescent="0.3">
      <c r="A108" s="15" t="s">
        <v>7</v>
      </c>
      <c r="B108" s="15">
        <v>33</v>
      </c>
      <c r="C108" s="15">
        <v>11</v>
      </c>
      <c r="D108" s="15">
        <v>2</v>
      </c>
      <c r="E108" s="15"/>
      <c r="F108" s="15"/>
      <c r="G108" s="15">
        <v>11</v>
      </c>
      <c r="H108" s="15">
        <v>2</v>
      </c>
      <c r="I108" s="15">
        <v>13</v>
      </c>
      <c r="J108" s="15">
        <v>2</v>
      </c>
      <c r="K108" s="15"/>
      <c r="L108" s="15"/>
      <c r="M108" s="15"/>
      <c r="N108" s="15"/>
      <c r="O108" s="15"/>
      <c r="P108" s="15"/>
      <c r="Q108" s="15"/>
      <c r="R108" s="15"/>
      <c r="S108" s="15">
        <v>13</v>
      </c>
      <c r="T108" s="15">
        <v>2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>
        <v>15</v>
      </c>
      <c r="BW108" s="1" t="str">
        <v>Marie</v>
      </c>
      <c r="BX108" s="1">
        <v>4.1210000000000004</v>
      </c>
      <c r="BY108" s="1">
        <v>195</v>
      </c>
    </row>
    <row r="109" spans="1:77" x14ac:dyDescent="0.3">
      <c r="A109" s="15" t="s">
        <v>7</v>
      </c>
      <c r="B109" s="15">
        <v>32</v>
      </c>
      <c r="C109" s="15">
        <v>14</v>
      </c>
      <c r="D109" s="15">
        <v>11</v>
      </c>
      <c r="E109" s="15"/>
      <c r="F109" s="15"/>
      <c r="G109" s="15">
        <v>105</v>
      </c>
      <c r="H109" s="15">
        <v>11</v>
      </c>
      <c r="I109" s="15">
        <v>81</v>
      </c>
      <c r="J109" s="15">
        <v>11</v>
      </c>
      <c r="K109" s="15">
        <v>61</v>
      </c>
      <c r="L109" s="15">
        <v>11</v>
      </c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>
        <v>16</v>
      </c>
      <c r="BW109" s="1" t="str">
        <v>Luca</v>
      </c>
      <c r="BX109" s="1">
        <v>3.0190000000000001</v>
      </c>
      <c r="BY109" s="1">
        <v>156</v>
      </c>
    </row>
    <row r="110" spans="1:77" x14ac:dyDescent="0.3">
      <c r="A110" s="15" t="s">
        <v>7</v>
      </c>
      <c r="B110" s="15">
        <v>31</v>
      </c>
      <c r="C110" s="15">
        <v>40</v>
      </c>
      <c r="D110" s="15">
        <v>4</v>
      </c>
      <c r="E110" s="15"/>
      <c r="F110" s="15"/>
      <c r="G110" s="15">
        <v>1</v>
      </c>
      <c r="H110" s="15">
        <v>4</v>
      </c>
      <c r="I110" s="15"/>
      <c r="J110" s="15"/>
      <c r="K110" s="15">
        <v>30</v>
      </c>
      <c r="L110" s="15">
        <v>4</v>
      </c>
      <c r="M110" s="15"/>
      <c r="N110" s="15"/>
      <c r="O110" s="15"/>
      <c r="P110" s="15"/>
      <c r="Q110" s="15"/>
      <c r="R110" s="15"/>
      <c r="S110" s="15">
        <v>19</v>
      </c>
      <c r="T110" s="15">
        <v>4</v>
      </c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>
        <v>17</v>
      </c>
      <c r="BW110" s="1" t="str">
        <v>Fantinne</v>
      </c>
      <c r="BX110" s="1">
        <v>2.9609999999999999</v>
      </c>
      <c r="BY110" s="1">
        <v>51</v>
      </c>
    </row>
    <row r="111" spans="1:77" x14ac:dyDescent="0.3">
      <c r="A111" s="15" t="s">
        <v>7</v>
      </c>
      <c r="B111" s="15">
        <v>30</v>
      </c>
      <c r="C111" s="15">
        <f>56/2</f>
        <v>28</v>
      </c>
      <c r="D111" s="15">
        <f>6/2</f>
        <v>3</v>
      </c>
      <c r="E111" s="15"/>
      <c r="F111" s="15"/>
      <c r="G111" s="15">
        <v>-28</v>
      </c>
      <c r="H111" s="15">
        <v>6</v>
      </c>
      <c r="I111" s="15"/>
      <c r="J111" s="15"/>
      <c r="K111" s="15">
        <f>56/2</f>
        <v>28</v>
      </c>
      <c r="L111" s="15">
        <f>6/2</f>
        <v>3</v>
      </c>
      <c r="M111" s="15">
        <v>28</v>
      </c>
      <c r="N111" s="15">
        <v>6</v>
      </c>
      <c r="O111" s="15"/>
      <c r="P111" s="15"/>
      <c r="Q111" s="15"/>
      <c r="R111" s="15"/>
      <c r="S111" s="15">
        <v>53</v>
      </c>
      <c r="T111" s="15">
        <v>6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>
        <v>18</v>
      </c>
      <c r="BW111" s="1" t="str">
        <v>Joey</v>
      </c>
      <c r="BX111" s="1">
        <v>2.5649999999999999</v>
      </c>
      <c r="BY111" s="1">
        <v>46</v>
      </c>
    </row>
    <row r="112" spans="1:77" x14ac:dyDescent="0.3">
      <c r="A112" s="15" t="s">
        <v>7</v>
      </c>
      <c r="B112" s="15">
        <v>29</v>
      </c>
      <c r="C112" s="15">
        <v>7</v>
      </c>
      <c r="D112" s="15">
        <v>6</v>
      </c>
      <c r="E112" s="15">
        <v>41</v>
      </c>
      <c r="F112" s="15">
        <v>6</v>
      </c>
      <c r="G112" s="15">
        <v>42</v>
      </c>
      <c r="H112" s="15">
        <v>6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>
        <v>34</v>
      </c>
      <c r="T112" s="15">
        <v>6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>
        <v>19</v>
      </c>
      <c r="BW112" s="1" t="str">
        <v>Loulou</v>
      </c>
      <c r="BX112" s="1">
        <v>2.0750000000000002</v>
      </c>
      <c r="BY112" s="1">
        <v>67</v>
      </c>
    </row>
    <row r="113" spans="1:80" x14ac:dyDescent="0.3">
      <c r="A113" s="15" t="s">
        <v>7</v>
      </c>
      <c r="B113" s="15">
        <v>28</v>
      </c>
      <c r="C113" s="15">
        <v>31</v>
      </c>
      <c r="D113" s="15">
        <v>4</v>
      </c>
      <c r="E113" s="15">
        <v>55</v>
      </c>
      <c r="F113" s="15">
        <v>4</v>
      </c>
      <c r="G113" s="15">
        <v>-8</v>
      </c>
      <c r="H113" s="15">
        <v>4</v>
      </c>
      <c r="I113" s="15">
        <v>33</v>
      </c>
      <c r="J113" s="15">
        <v>4</v>
      </c>
      <c r="K113" s="15"/>
      <c r="L113" s="15"/>
      <c r="M113" s="15">
        <v>11</v>
      </c>
      <c r="N113" s="15">
        <v>4</v>
      </c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</row>
    <row r="114" spans="1:80" x14ac:dyDescent="0.3">
      <c r="A114" s="15" t="s">
        <v>7</v>
      </c>
      <c r="B114" s="15">
        <v>27</v>
      </c>
      <c r="C114" s="15">
        <v>42</v>
      </c>
      <c r="D114" s="15">
        <v>9</v>
      </c>
      <c r="E114" s="15">
        <v>73</v>
      </c>
      <c r="F114" s="15">
        <v>9</v>
      </c>
      <c r="G114" s="15">
        <v>34</v>
      </c>
      <c r="H114" s="15">
        <v>9</v>
      </c>
      <c r="I114" s="15">
        <v>62</v>
      </c>
      <c r="J114" s="15">
        <v>9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</row>
    <row r="115" spans="1:80" x14ac:dyDescent="0.3">
      <c r="A115" s="15" t="s">
        <v>7</v>
      </c>
      <c r="B115" s="15">
        <v>26</v>
      </c>
      <c r="C115" s="15">
        <v>0</v>
      </c>
      <c r="D115" s="15">
        <v>1</v>
      </c>
      <c r="E115" s="15">
        <v>8</v>
      </c>
      <c r="F115" s="15">
        <v>1</v>
      </c>
      <c r="G115" s="15"/>
      <c r="H115" s="15"/>
      <c r="I115" s="15"/>
      <c r="J115" s="15"/>
      <c r="K115" s="15"/>
      <c r="L115" s="15"/>
      <c r="M115" s="15">
        <v>21</v>
      </c>
      <c r="N115" s="15">
        <v>2</v>
      </c>
      <c r="O115" s="15"/>
      <c r="P115" s="15"/>
      <c r="Q115" s="15"/>
      <c r="R115" s="15"/>
      <c r="S115" s="15">
        <v>13</v>
      </c>
      <c r="T115" s="15">
        <v>2</v>
      </c>
      <c r="U115" s="15"/>
      <c r="V115" s="15"/>
      <c r="W115" s="15"/>
      <c r="X115" s="15"/>
      <c r="Y115" s="15"/>
      <c r="Z115" s="15"/>
      <c r="AA115" s="15"/>
      <c r="AB115" s="15"/>
      <c r="AC115" s="15">
        <v>0</v>
      </c>
      <c r="AD115" s="15">
        <v>2</v>
      </c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</row>
    <row r="116" spans="1:80" x14ac:dyDescent="0.3">
      <c r="A116" s="15" t="s">
        <v>7</v>
      </c>
      <c r="B116" s="15">
        <v>25</v>
      </c>
      <c r="C116" s="15"/>
      <c r="D116" s="15"/>
      <c r="E116" s="15">
        <v>-14</v>
      </c>
      <c r="F116" s="15">
        <v>2</v>
      </c>
      <c r="G116" s="15">
        <v>27</v>
      </c>
      <c r="H116" s="15">
        <v>2</v>
      </c>
      <c r="I116" s="15">
        <v>-14</v>
      </c>
      <c r="J116" s="15">
        <v>2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>
        <v>27</v>
      </c>
      <c r="AF116" s="15">
        <v>2</v>
      </c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</row>
    <row r="117" spans="1:80" x14ac:dyDescent="0.3">
      <c r="A117" s="15" t="s">
        <v>7</v>
      </c>
      <c r="B117" s="15">
        <v>24</v>
      </c>
      <c r="C117" s="15">
        <v>14</v>
      </c>
      <c r="D117" s="15">
        <v>2</v>
      </c>
      <c r="E117" s="15"/>
      <c r="F117" s="15"/>
      <c r="G117" s="15">
        <v>34</v>
      </c>
      <c r="H117" s="15">
        <v>2</v>
      </c>
      <c r="I117" s="15"/>
      <c r="J117" s="15"/>
      <c r="K117" s="15">
        <v>20</v>
      </c>
      <c r="L117" s="15">
        <v>2</v>
      </c>
      <c r="M117" s="15">
        <v>0</v>
      </c>
      <c r="N117" s="15">
        <v>2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</row>
    <row r="118" spans="1:80" x14ac:dyDescent="0.3">
      <c r="A118" s="15" t="s">
        <v>7</v>
      </c>
      <c r="B118" s="15">
        <v>23</v>
      </c>
      <c r="C118" s="15">
        <v>13</v>
      </c>
      <c r="D118" s="15">
        <v>9</v>
      </c>
      <c r="E118" s="15"/>
      <c r="F118" s="15"/>
      <c r="G118" s="15">
        <v>99</v>
      </c>
      <c r="H118" s="15">
        <v>9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28</v>
      </c>
      <c r="T118" s="15">
        <v>9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42</v>
      </c>
      <c r="AL118" s="15">
        <v>9</v>
      </c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</row>
    <row r="119" spans="1:80" x14ac:dyDescent="0.3">
      <c r="A119" s="15" t="s">
        <v>7</v>
      </c>
      <c r="B119" s="15">
        <v>22</v>
      </c>
      <c r="C119" s="15">
        <v>19</v>
      </c>
      <c r="D119" s="15">
        <v>8</v>
      </c>
      <c r="E119" s="15">
        <v>82</v>
      </c>
      <c r="F119" s="15">
        <v>8</v>
      </c>
      <c r="G119" s="15">
        <v>24</v>
      </c>
      <c r="H119" s="15">
        <v>8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>
        <v>79</v>
      </c>
      <c r="AL119" s="15">
        <v>8</v>
      </c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</row>
    <row r="120" spans="1:80" x14ac:dyDescent="0.3">
      <c r="A120" s="15" t="s">
        <v>7</v>
      </c>
      <c r="B120" s="15">
        <v>21</v>
      </c>
      <c r="C120" s="15">
        <v>93</v>
      </c>
      <c r="D120" s="15">
        <v>20</v>
      </c>
      <c r="E120" s="15">
        <v>156</v>
      </c>
      <c r="F120" s="15">
        <v>20</v>
      </c>
      <c r="G120" s="15">
        <v>153</v>
      </c>
      <c r="H120" s="15">
        <v>20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>
        <v>59</v>
      </c>
      <c r="X120" s="15">
        <v>20</v>
      </c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BV120" s="1" t="str" cm="1">
        <f t="array" ref="BV120:BX13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20" s="1">
        <v>7.6461538461538465</v>
      </c>
      <c r="BX120" s="1">
        <v>65</v>
      </c>
      <c r="CA120" s="1" t="str" cm="1">
        <f t="array" ref="CA120:CB138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20" s="1">
        <v>7.6461538461538465</v>
      </c>
    </row>
    <row r="121" spans="1:80" x14ac:dyDescent="0.3">
      <c r="A121" s="15" t="s">
        <v>7</v>
      </c>
      <c r="B121" s="15">
        <v>20</v>
      </c>
      <c r="C121" s="15"/>
      <c r="D121" s="15"/>
      <c r="E121" s="15">
        <v>35</v>
      </c>
      <c r="F121" s="15">
        <v>8</v>
      </c>
      <c r="G121" s="15">
        <v>45</v>
      </c>
      <c r="H121" s="15">
        <v>8</v>
      </c>
      <c r="I121" s="15"/>
      <c r="J121" s="15"/>
      <c r="K121" s="15"/>
      <c r="L121" s="15"/>
      <c r="M121" s="15">
        <v>27</v>
      </c>
      <c r="N121" s="15">
        <v>8</v>
      </c>
      <c r="O121" s="15"/>
      <c r="P121" s="15"/>
      <c r="Q121" s="15"/>
      <c r="R121" s="15"/>
      <c r="S121" s="15">
        <v>78</v>
      </c>
      <c r="T121" s="15">
        <v>8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BV121" s="1" t="str">
        <v>Boris</v>
      </c>
      <c r="BW121" s="1">
        <v>7.2040082219938331</v>
      </c>
      <c r="BX121" s="1">
        <v>973</v>
      </c>
      <c r="CA121" s="1" t="str">
        <v>Boris</v>
      </c>
      <c r="CB121" s="1">
        <v>7.2040082219938331</v>
      </c>
    </row>
    <row r="122" spans="1:80" x14ac:dyDescent="0.3">
      <c r="A122" s="15" t="s">
        <v>7</v>
      </c>
      <c r="B122" s="15">
        <v>19</v>
      </c>
      <c r="C122" s="15">
        <v>2</v>
      </c>
      <c r="D122" s="15">
        <v>7</v>
      </c>
      <c r="E122" s="15">
        <v>57</v>
      </c>
      <c r="F122" s="15">
        <v>7</v>
      </c>
      <c r="G122" s="15">
        <v>73</v>
      </c>
      <c r="H122" s="15">
        <v>7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>
        <v>29</v>
      </c>
      <c r="T122" s="15">
        <v>7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BV122" s="1" t="str">
        <v>Joachim</v>
      </c>
      <c r="BW122" s="1">
        <v>6.2019230769230766</v>
      </c>
      <c r="BX122" s="1">
        <v>104</v>
      </c>
      <c r="CA122" s="1" t="str">
        <v>Joachim</v>
      </c>
      <c r="CB122" s="1">
        <v>6.2019230769230766</v>
      </c>
    </row>
    <row r="123" spans="1:80" x14ac:dyDescent="0.3">
      <c r="A123" s="15" t="s">
        <v>7</v>
      </c>
      <c r="B123" s="15">
        <v>18</v>
      </c>
      <c r="C123" s="15">
        <v>50</v>
      </c>
      <c r="D123" s="15">
        <v>10</v>
      </c>
      <c r="E123" s="15"/>
      <c r="F123" s="15"/>
      <c r="G123" s="15">
        <v>103</v>
      </c>
      <c r="H123" s="15">
        <v>10</v>
      </c>
      <c r="I123" s="15"/>
      <c r="J123" s="15"/>
      <c r="K123" s="15"/>
      <c r="L123" s="15"/>
      <c r="M123" s="15"/>
      <c r="N123" s="15"/>
      <c r="O123" s="15"/>
      <c r="P123" s="15"/>
      <c r="Q123" s="15">
        <v>44</v>
      </c>
      <c r="R123" s="15">
        <v>10</v>
      </c>
      <c r="S123" s="15"/>
      <c r="T123" s="15"/>
      <c r="U123" s="15">
        <v>2</v>
      </c>
      <c r="V123" s="15">
        <v>10</v>
      </c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BV123" s="1" t="str">
        <v>Tom</v>
      </c>
      <c r="BW123" s="1">
        <v>6.1088082901554408</v>
      </c>
      <c r="BX123" s="1">
        <v>193</v>
      </c>
      <c r="CA123" s="1" t="str">
        <v>Tom</v>
      </c>
      <c r="CB123" s="1">
        <v>6.1088082901554408</v>
      </c>
    </row>
    <row r="124" spans="1:80" x14ac:dyDescent="0.3">
      <c r="A124" s="15" t="s">
        <v>7</v>
      </c>
      <c r="B124" s="15">
        <v>17</v>
      </c>
      <c r="C124" s="15">
        <v>28</v>
      </c>
      <c r="D124" s="15">
        <v>8</v>
      </c>
      <c r="E124" s="15">
        <v>8</v>
      </c>
      <c r="F124" s="15">
        <v>8</v>
      </c>
      <c r="G124" s="15">
        <v>94</v>
      </c>
      <c r="H124" s="15">
        <v>8</v>
      </c>
      <c r="I124" s="15"/>
      <c r="J124" s="15"/>
      <c r="K124" s="15"/>
      <c r="L124" s="15"/>
      <c r="M124" s="15">
        <v>39</v>
      </c>
      <c r="N124" s="15">
        <v>8</v>
      </c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BV124" s="1" t="str">
        <v>William</v>
      </c>
      <c r="BW124" s="1">
        <v>6.068965517241379</v>
      </c>
      <c r="BX124" s="1">
        <v>29</v>
      </c>
      <c r="CA124" s="1" t="str">
        <v>William</v>
      </c>
      <c r="CB124" s="1">
        <v>6.068965517241379</v>
      </c>
    </row>
    <row r="125" spans="1:80" x14ac:dyDescent="0.3">
      <c r="A125" s="15" t="s">
        <v>7</v>
      </c>
      <c r="B125" s="15">
        <v>16</v>
      </c>
      <c r="C125" s="15">
        <v>59</v>
      </c>
      <c r="D125" s="15">
        <v>11</v>
      </c>
      <c r="E125" s="15">
        <v>99</v>
      </c>
      <c r="F125" s="15">
        <v>11</v>
      </c>
      <c r="G125" s="15">
        <v>46</v>
      </c>
      <c r="H125" s="15">
        <v>11</v>
      </c>
      <c r="I125" s="15">
        <v>42</v>
      </c>
      <c r="J125" s="15">
        <v>11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BV125" s="1" t="str">
        <v>Célian</v>
      </c>
      <c r="BW125" s="1">
        <v>6.0048780487804878</v>
      </c>
      <c r="BX125" s="1">
        <v>205</v>
      </c>
      <c r="CA125" s="1" t="str">
        <v>Lou</v>
      </c>
      <c r="CB125" s="1">
        <v>6.0526315789473681</v>
      </c>
    </row>
    <row r="126" spans="1:80" x14ac:dyDescent="0.3">
      <c r="A126" s="15" t="s">
        <v>7</v>
      </c>
      <c r="B126" s="15">
        <v>15</v>
      </c>
      <c r="C126" s="15">
        <v>21</v>
      </c>
      <c r="D126" s="15">
        <v>12</v>
      </c>
      <c r="E126" s="15">
        <v>61</v>
      </c>
      <c r="F126" s="15">
        <v>12</v>
      </c>
      <c r="G126" s="15">
        <v>91</v>
      </c>
      <c r="H126" s="15">
        <v>12</v>
      </c>
      <c r="I126" s="15"/>
      <c r="J126" s="15"/>
      <c r="K126" s="15"/>
      <c r="L126" s="15"/>
      <c r="M126" s="15"/>
      <c r="N126" s="15"/>
      <c r="O126" s="15">
        <v>70</v>
      </c>
      <c r="P126" s="15">
        <v>12</v>
      </c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BV126" s="1" t="str">
        <v>Samuel</v>
      </c>
      <c r="BW126" s="1">
        <v>5.9099526066350707</v>
      </c>
      <c r="BX126" s="1">
        <v>211</v>
      </c>
      <c r="CA126" s="1" t="str">
        <v>Célian</v>
      </c>
      <c r="CB126" s="1">
        <v>6.0048780487804878</v>
      </c>
    </row>
    <row r="127" spans="1:80" x14ac:dyDescent="0.3">
      <c r="A127" s="15" t="s">
        <v>7</v>
      </c>
      <c r="B127" s="15">
        <v>14</v>
      </c>
      <c r="C127" s="15">
        <v>29</v>
      </c>
      <c r="D127" s="15">
        <v>12</v>
      </c>
      <c r="E127" s="15">
        <v>55</v>
      </c>
      <c r="F127" s="15">
        <v>12</v>
      </c>
      <c r="G127" s="15">
        <v>107</v>
      </c>
      <c r="H127" s="15">
        <v>12</v>
      </c>
      <c r="I127" s="15">
        <v>81</v>
      </c>
      <c r="J127" s="15">
        <v>12</v>
      </c>
      <c r="K127" s="15">
        <v>84</v>
      </c>
      <c r="L127" s="15">
        <v>12</v>
      </c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BV127" s="1" t="str">
        <v>Mehdi</v>
      </c>
      <c r="BW127" s="1">
        <v>5.7695961995249405</v>
      </c>
      <c r="BX127" s="1">
        <v>421</v>
      </c>
      <c r="CA127" s="1" t="str">
        <v>Samuel</v>
      </c>
      <c r="CB127" s="1">
        <v>5.9099526066350707</v>
      </c>
    </row>
    <row r="128" spans="1:80" x14ac:dyDescent="0.3">
      <c r="A128" s="15" t="s">
        <v>7</v>
      </c>
      <c r="B128" s="15">
        <v>13</v>
      </c>
      <c r="C128" s="15">
        <v>162</v>
      </c>
      <c r="D128" s="15">
        <v>20</v>
      </c>
      <c r="E128" s="15">
        <v>125</v>
      </c>
      <c r="F128" s="15">
        <v>20</v>
      </c>
      <c r="G128" s="15">
        <v>87</v>
      </c>
      <c r="H128" s="15">
        <v>20</v>
      </c>
      <c r="I128" s="15">
        <v>150</v>
      </c>
      <c r="J128" s="15">
        <v>20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BV128" s="1" t="str">
        <v>Achille</v>
      </c>
      <c r="BW128" s="1">
        <v>5.3651960784313726</v>
      </c>
      <c r="BX128" s="1">
        <v>816</v>
      </c>
      <c r="CA128" s="1" t="str">
        <v>Mehdi</v>
      </c>
      <c r="CB128" s="1">
        <v>5.7695961995249405</v>
      </c>
    </row>
    <row r="129" spans="1:80" x14ac:dyDescent="0.3">
      <c r="A129" s="1" t="s">
        <v>25</v>
      </c>
      <c r="B129" s="1" t="s">
        <v>26</v>
      </c>
      <c r="BV129" s="1" t="str">
        <v>Damien</v>
      </c>
      <c r="BW129" s="1">
        <v>5.3588785046728971</v>
      </c>
      <c r="BX129" s="1">
        <v>535</v>
      </c>
      <c r="CA129" s="1" t="str">
        <v>Achille</v>
      </c>
      <c r="CB129" s="1">
        <v>5.3651960784313726</v>
      </c>
    </row>
    <row r="130" spans="1:80" x14ac:dyDescent="0.3">
      <c r="A130" s="1" t="s">
        <v>7</v>
      </c>
      <c r="B130" s="1">
        <v>12</v>
      </c>
      <c r="C130" s="1">
        <v>91</v>
      </c>
      <c r="D130" s="1">
        <v>11</v>
      </c>
      <c r="G130" s="1">
        <v>40</v>
      </c>
      <c r="H130" s="1">
        <v>11</v>
      </c>
      <c r="U130" s="1">
        <v>64</v>
      </c>
      <c r="V130" s="1">
        <v>11</v>
      </c>
      <c r="Y130" s="1">
        <v>64</v>
      </c>
      <c r="Z130" s="1">
        <v>11</v>
      </c>
      <c r="BV130" s="1" t="str">
        <v>Paul</v>
      </c>
      <c r="BW130" s="1">
        <v>4.8125</v>
      </c>
      <c r="BX130" s="1">
        <v>32</v>
      </c>
      <c r="CA130" s="1" t="str">
        <v>Damien</v>
      </c>
      <c r="CB130" s="1">
        <v>5.3588785046728971</v>
      </c>
    </row>
    <row r="131" spans="1:80" x14ac:dyDescent="0.3">
      <c r="A131" s="1" t="s">
        <v>7</v>
      </c>
      <c r="B131" s="1">
        <v>11</v>
      </c>
      <c r="C131" s="1">
        <v>64</v>
      </c>
      <c r="D131" s="1">
        <v>20</v>
      </c>
      <c r="E131" s="1">
        <v>87</v>
      </c>
      <c r="F131" s="1">
        <v>20</v>
      </c>
      <c r="G131" s="1">
        <v>185</v>
      </c>
      <c r="H131" s="1">
        <v>20</v>
      </c>
      <c r="M131" s="1">
        <v>134</v>
      </c>
      <c r="N131" s="1">
        <v>20</v>
      </c>
      <c r="BV131" s="1" t="str">
        <v>Jules</v>
      </c>
      <c r="BW131" s="1">
        <v>4.75</v>
      </c>
      <c r="BX131" s="1">
        <v>116</v>
      </c>
      <c r="CA131" s="1" t="str">
        <v>Paul</v>
      </c>
      <c r="CB131" s="1">
        <v>4.8125</v>
      </c>
    </row>
    <row r="132" spans="1:80" x14ac:dyDescent="0.3">
      <c r="A132" s="1" t="s">
        <v>7</v>
      </c>
      <c r="B132" s="1">
        <v>10</v>
      </c>
      <c r="C132" s="1">
        <v>-2</v>
      </c>
      <c r="D132" s="1">
        <v>8</v>
      </c>
      <c r="G132" s="1">
        <v>65</v>
      </c>
      <c r="H132" s="1">
        <v>8</v>
      </c>
      <c r="K132" s="1">
        <v>44</v>
      </c>
      <c r="L132" s="1">
        <v>8</v>
      </c>
      <c r="M132" s="1">
        <v>80</v>
      </c>
      <c r="N132" s="1">
        <v>8</v>
      </c>
      <c r="BV132" s="1" t="str">
        <v>Quentin</v>
      </c>
      <c r="BW132" s="1">
        <v>4.6349206349206353</v>
      </c>
      <c r="BX132" s="1">
        <v>63</v>
      </c>
      <c r="CA132" s="1" t="str">
        <v>Jules</v>
      </c>
      <c r="CB132" s="1">
        <v>4.75</v>
      </c>
    </row>
    <row r="133" spans="1:80" x14ac:dyDescent="0.3">
      <c r="A133" s="1" t="s">
        <v>7</v>
      </c>
      <c r="B133" s="1">
        <v>9</v>
      </c>
      <c r="C133" s="1">
        <v>45</v>
      </c>
      <c r="D133" s="1">
        <v>9</v>
      </c>
      <c r="G133" s="1">
        <v>47</v>
      </c>
      <c r="H133" s="1">
        <v>9</v>
      </c>
      <c r="Y133" s="1">
        <v>44</v>
      </c>
      <c r="Z133" s="1">
        <v>9</v>
      </c>
      <c r="AA133" s="1">
        <v>42</v>
      </c>
      <c r="AB133" s="1">
        <v>9</v>
      </c>
      <c r="BV133" s="1" t="str">
        <v>Marie</v>
      </c>
      <c r="BW133" s="1">
        <v>4.1205128205128201</v>
      </c>
      <c r="BX133" s="1">
        <v>195</v>
      </c>
      <c r="CA133" s="1" t="str">
        <v>Quentin</v>
      </c>
      <c r="CB133" s="1">
        <v>4.6349206349206353</v>
      </c>
    </row>
    <row r="134" spans="1:80" x14ac:dyDescent="0.3">
      <c r="A134" s="1" t="s">
        <v>7</v>
      </c>
      <c r="B134" s="1">
        <v>8</v>
      </c>
      <c r="C134" s="1">
        <v>61</v>
      </c>
      <c r="D134" s="1">
        <v>12</v>
      </c>
      <c r="G134" s="1">
        <v>96</v>
      </c>
      <c r="H134" s="1">
        <v>12</v>
      </c>
      <c r="Y134" s="1">
        <v>46</v>
      </c>
      <c r="Z134" s="1">
        <v>12</v>
      </c>
      <c r="AA134" s="1">
        <v>47</v>
      </c>
      <c r="AB134" s="1">
        <v>12</v>
      </c>
      <c r="BV134" s="1" t="str">
        <v>Luca</v>
      </c>
      <c r="BW134" s="1">
        <v>3.0192307692307692</v>
      </c>
      <c r="BX134" s="1">
        <v>156</v>
      </c>
      <c r="CA134" s="1" t="str">
        <v>Marie</v>
      </c>
      <c r="CB134" s="1">
        <v>4.1205128205128201</v>
      </c>
    </row>
    <row r="135" spans="1:80" x14ac:dyDescent="0.3">
      <c r="A135" s="1" t="s">
        <v>7</v>
      </c>
      <c r="B135" s="1">
        <v>7</v>
      </c>
      <c r="C135" s="1">
        <v>36</v>
      </c>
      <c r="D135" s="1">
        <v>2</v>
      </c>
      <c r="E135" s="1">
        <v>0</v>
      </c>
      <c r="F135" s="1">
        <v>2</v>
      </c>
      <c r="G135" s="1">
        <v>0</v>
      </c>
      <c r="H135" s="1">
        <v>2</v>
      </c>
      <c r="O135" s="1">
        <v>12</v>
      </c>
      <c r="P135" s="1">
        <v>2</v>
      </c>
      <c r="BV135" s="1" t="str">
        <v>Fantinne</v>
      </c>
      <c r="BW135" s="1">
        <v>2.9607843137254903</v>
      </c>
      <c r="BX135" s="1">
        <v>51</v>
      </c>
      <c r="CA135" s="1" t="str">
        <v>Luca</v>
      </c>
      <c r="CB135" s="1">
        <v>3.0192307692307692</v>
      </c>
    </row>
    <row r="136" spans="1:80" x14ac:dyDescent="0.3">
      <c r="A136" s="1" t="s">
        <v>7</v>
      </c>
      <c r="B136" s="1">
        <v>6</v>
      </c>
      <c r="C136" s="1">
        <v>99</v>
      </c>
      <c r="D136" s="1">
        <v>13</v>
      </c>
      <c r="E136" s="1">
        <v>23</v>
      </c>
      <c r="F136" s="1">
        <v>13</v>
      </c>
      <c r="G136" s="1">
        <v>90</v>
      </c>
      <c r="H136" s="1">
        <v>13</v>
      </c>
      <c r="I136" s="1">
        <v>131</v>
      </c>
      <c r="J136" s="1">
        <v>13</v>
      </c>
      <c r="BV136" s="1" t="str">
        <v>Joey</v>
      </c>
      <c r="BW136" s="1">
        <v>2.5652173913043477</v>
      </c>
      <c r="BX136" s="1">
        <v>46</v>
      </c>
      <c r="CA136" s="1" t="str">
        <v>Fantinne</v>
      </c>
      <c r="CB136" s="1">
        <v>2.9607843137254903</v>
      </c>
    </row>
    <row r="137" spans="1:80" x14ac:dyDescent="0.3">
      <c r="A137" s="1" t="s">
        <v>7</v>
      </c>
      <c r="B137" s="1">
        <v>5</v>
      </c>
      <c r="C137" s="1">
        <v>56</v>
      </c>
      <c r="D137" s="1">
        <v>9</v>
      </c>
      <c r="E137" s="1">
        <v>35</v>
      </c>
      <c r="F137" s="1">
        <v>9</v>
      </c>
      <c r="G137" s="1">
        <v>106</v>
      </c>
      <c r="H137" s="1">
        <v>9</v>
      </c>
      <c r="W137" s="1">
        <v>55</v>
      </c>
      <c r="X137" s="1">
        <v>9</v>
      </c>
      <c r="BV137" s="1" t="str">
        <v>Loulou</v>
      </c>
      <c r="BW137" s="1">
        <v>2.0746268656716418</v>
      </c>
      <c r="BX137" s="1">
        <v>67</v>
      </c>
      <c r="CA137" s="1" t="str">
        <v>Joey</v>
      </c>
      <c r="CB137" s="1">
        <v>2.5652173913043477</v>
      </c>
    </row>
    <row r="138" spans="1:80" x14ac:dyDescent="0.3">
      <c r="A138" s="1" t="s">
        <v>7</v>
      </c>
      <c r="B138" s="1">
        <v>4</v>
      </c>
      <c r="C138" s="1">
        <v>83</v>
      </c>
      <c r="D138" s="1">
        <v>11</v>
      </c>
      <c r="E138" s="1">
        <v>8</v>
      </c>
      <c r="F138" s="1">
        <v>11</v>
      </c>
      <c r="G138" s="1">
        <v>110</v>
      </c>
      <c r="H138" s="1">
        <v>11</v>
      </c>
      <c r="I138" s="1">
        <v>57</v>
      </c>
      <c r="J138" s="1">
        <v>11</v>
      </c>
      <c r="CA138" s="1" t="str">
        <v>Loulou</v>
      </c>
      <c r="CB138" s="1">
        <v>2.0746268656716418</v>
      </c>
    </row>
    <row r="139" spans="1:80" x14ac:dyDescent="0.3">
      <c r="A139" s="1" t="s">
        <v>7</v>
      </c>
      <c r="B139" s="1">
        <v>3</v>
      </c>
      <c r="C139" s="1">
        <v>71</v>
      </c>
      <c r="D139" s="1">
        <v>13</v>
      </c>
      <c r="G139" s="1">
        <v>88</v>
      </c>
      <c r="H139" s="1">
        <v>13</v>
      </c>
      <c r="I139" s="1">
        <v>116</v>
      </c>
      <c r="J139" s="1">
        <v>13</v>
      </c>
      <c r="M139" s="1">
        <v>29</v>
      </c>
      <c r="N139" s="1">
        <v>13</v>
      </c>
    </row>
    <row r="140" spans="1:80" x14ac:dyDescent="0.3">
      <c r="A140" s="1" t="s">
        <v>7</v>
      </c>
      <c r="B140" s="1">
        <v>2</v>
      </c>
      <c r="C140" s="1">
        <v>21</v>
      </c>
      <c r="D140" s="1">
        <v>15</v>
      </c>
      <c r="E140" s="1">
        <v>33</v>
      </c>
      <c r="F140" s="1">
        <v>15</v>
      </c>
      <c r="G140" s="1">
        <v>90</v>
      </c>
      <c r="H140" s="1">
        <v>15</v>
      </c>
      <c r="I140" s="1">
        <v>99</v>
      </c>
      <c r="J140" s="1">
        <v>15</v>
      </c>
    </row>
    <row r="141" spans="1:80" x14ac:dyDescent="0.3">
      <c r="A141" s="1" t="s">
        <v>7</v>
      </c>
      <c r="B141" s="1">
        <v>1</v>
      </c>
      <c r="C141" s="1">
        <v>-5</v>
      </c>
      <c r="D141" s="1">
        <v>12</v>
      </c>
      <c r="E141" s="1">
        <v>88</v>
      </c>
      <c r="F141" s="1">
        <v>12</v>
      </c>
      <c r="G141" s="1">
        <v>64</v>
      </c>
      <c r="H141" s="1">
        <v>12</v>
      </c>
      <c r="I141" s="1">
        <v>95</v>
      </c>
      <c r="J141" s="1">
        <v>12</v>
      </c>
    </row>
  </sheetData>
  <sortState xmlns:xlrd2="http://schemas.microsoft.com/office/spreadsheetml/2017/richdata2" ref="A130:AM141">
    <sortCondition descending="1" ref="B130:B141"/>
  </sortState>
  <mergeCells count="28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48 I10:I48 K10:K48 M10:M48 C10:C141 E10:E141 O10:O141 Q10:Q141 S10:S141 U10:U141 W10:W141 Y10:Y141 AA10:AA141 AC10:AC141 AE10:AE141 AG10:AG141 AI10:AI141 AK10:AK141 AM10:AM141 AO10:AO141 AQ10:AQ141 AS10:AS141 AU10:AU141 AW10:AW141 AY10:AY141 BA10:BA141 BC10:BC141 BE10:BE141 G50:G141 I50:I141 K50:K141 M50:M141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48 J10:J48 L10:L48 N10:N48 D10:D141 F10:F141 P10:P141 R10:R141 T10:T141 V10:V141 X10:X141 Z10:Z141 AB10:AB141 AD10:AD141 AF10:AF141 AH10:AH141 AJ10:AJ141 AL10:AL141 AN10:AN141 AP10:AP141 AR10:AR141 AT10:AT141 AV10:AV141 AX10:AX141 AZ10:AZ141 BB10:BB141 BD10:BD141 BF10:BF141 H50:H141 J50:J141 L50:L141 N50:N141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62:BO90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62:BT83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122" workbookViewId="0">
      <selection activeCell="B19" sqref="B1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stat'!BP49:BP58</f>
        <v>légende</v>
      </c>
    </row>
    <row r="2" spans="1:9" x14ac:dyDescent="0.3">
      <c r="A2" s="25" cm="1">
        <f t="array" ref="A2:D20">_xlfn.ANCHORARRAY('All stat'!BL62)</f>
        <v>1</v>
      </c>
      <c r="B2" s="25" t="str">
        <v>Gauthier</v>
      </c>
      <c r="C2" s="25" t="str">
        <v>7.646</v>
      </c>
      <c r="D2" s="25">
        <v>65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7.204</v>
      </c>
      <c r="D3" s="25">
        <v>973</v>
      </c>
      <c r="F3" t="str">
        <v>entre 1 et 10</v>
      </c>
      <c r="G3" s="23"/>
      <c r="H3" t="str" cm="1">
        <f t="array" ref="H3:I10">'All stat'!BR51:BS58</f>
        <v>anecdotique</v>
      </c>
      <c r="I3" t="str">
        <v>négligeable</v>
      </c>
    </row>
    <row r="4" spans="1:9" x14ac:dyDescent="0.3">
      <c r="A4" s="25">
        <v>3</v>
      </c>
      <c r="B4" s="25" t="str">
        <v>Joachim</v>
      </c>
      <c r="C4" s="25" t="str">
        <v>6.202</v>
      </c>
      <c r="D4" s="25">
        <v>104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Tom</v>
      </c>
      <c r="C5" s="25" t="str">
        <v>6.109</v>
      </c>
      <c r="D5" s="25">
        <v>193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William</v>
      </c>
      <c r="C6" s="25" t="str">
        <v>6.069</v>
      </c>
      <c r="D6" s="25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Lou</v>
      </c>
      <c r="C7" s="25" t="str">
        <v>6.053</v>
      </c>
      <c r="D7" s="25">
        <v>57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6.005</v>
      </c>
      <c r="D8" s="25">
        <v>205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5.365</v>
      </c>
      <c r="D11" s="25">
        <v>816</v>
      </c>
    </row>
    <row r="12" spans="1:9" x14ac:dyDescent="0.3">
      <c r="A12" s="25">
        <v>11</v>
      </c>
      <c r="B12" s="25" t="str">
        <v>Damien</v>
      </c>
      <c r="C12" s="25" t="str">
        <v>5.359</v>
      </c>
      <c r="D12" s="25">
        <v>535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4.750</v>
      </c>
      <c r="D14" s="25">
        <v>116</v>
      </c>
    </row>
    <row r="15" spans="1:9" x14ac:dyDescent="0.3">
      <c r="A15" s="25">
        <v>14</v>
      </c>
      <c r="B15" s="25" t="str">
        <v>Quentin</v>
      </c>
      <c r="C15" s="25" t="str">
        <v>4.635</v>
      </c>
      <c r="D15" s="25">
        <v>63</v>
      </c>
    </row>
    <row r="16" spans="1:9" x14ac:dyDescent="0.3">
      <c r="A16" s="25">
        <v>15</v>
      </c>
      <c r="B16" s="25" t="str">
        <v>Marie</v>
      </c>
      <c r="C16" s="25" t="str">
        <v>4.121</v>
      </c>
      <c r="D16" s="25">
        <v>195</v>
      </c>
    </row>
    <row r="17" spans="1:4" x14ac:dyDescent="0.3">
      <c r="A17" s="25">
        <v>16</v>
      </c>
      <c r="B17" s="25" t="str">
        <v>Luca</v>
      </c>
      <c r="C17" s="25" t="str">
        <v>3.019</v>
      </c>
      <c r="D17" s="25">
        <v>156</v>
      </c>
    </row>
    <row r="18" spans="1:4" x14ac:dyDescent="0.3">
      <c r="A18" s="25">
        <v>17</v>
      </c>
      <c r="B18" s="25" t="str">
        <v>Fantinne</v>
      </c>
      <c r="C18" s="25" t="str">
        <v>2.961</v>
      </c>
      <c r="D18" s="25">
        <v>51</v>
      </c>
    </row>
    <row r="19" spans="1:4" x14ac:dyDescent="0.3">
      <c r="A19" s="25">
        <v>18</v>
      </c>
      <c r="B19" s="25" t="str">
        <v>Joey</v>
      </c>
      <c r="C19" s="25" t="str">
        <v>2.565</v>
      </c>
      <c r="D19" s="25">
        <v>46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2025-12-19T20:07:39Z</dcterms:modified>
</cp:coreProperties>
</file>