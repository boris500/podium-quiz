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persons/person.xml" ContentType="application/vnd.ms-excel.person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628"/>
  <workbookPr defaultThemeVersion="202300"/>
  <mc:AlternateContent xmlns:mc="http://schemas.openxmlformats.org/markup-compatibility/2006">
    <mc:Choice Requires="x15">
      <x15ac:absPath xmlns:x15ac="http://schemas.microsoft.com/office/spreadsheetml/2010/11/ac" url="https://d.docs.live.net/a20b8382962b136a/Bureau/loisir/whist/projet_application_streamlit/"/>
    </mc:Choice>
  </mc:AlternateContent>
  <xr:revisionPtr revIDLastSave="731" documentId="8_{848EF4F6-53E4-4B52-9417-5BFB5A888B23}" xr6:coauthVersionLast="47" xr6:coauthVersionMax="47" xr10:uidLastSave="{EA45DFD6-B078-4097-A72F-963B71D5E789}"/>
  <bookViews>
    <workbookView xWindow="-108" yWindow="-108" windowWidth="23256" windowHeight="12456" xr2:uid="{00000000-000D-0000-FFFF-FFFF00000000}"/>
  </bookViews>
  <sheets>
    <sheet name="All stat" sheetId="1" r:id="rId1"/>
    <sheet name="Classement" sheetId="2" r:id="rId2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2" l="1" a="1"/>
  <c r="H3" i="2" s="1"/>
  <c r="F1" i="2" a="1"/>
  <c r="F1" i="2" s="1"/>
  <c r="BK5" i="1"/>
  <c r="BK4" i="1"/>
  <c r="BE4" i="1"/>
  <c r="BF4" i="1"/>
  <c r="BE6" i="1"/>
  <c r="BF6" i="1"/>
  <c r="BE8" i="1"/>
  <c r="BF8" i="1"/>
  <c r="BD8" i="1"/>
  <c r="BC8" i="1"/>
  <c r="BB8" i="1"/>
  <c r="BA8" i="1"/>
  <c r="BD6" i="1"/>
  <c r="BC6" i="1"/>
  <c r="BB6" i="1"/>
  <c r="BA6" i="1"/>
  <c r="BD4" i="1"/>
  <c r="BC4" i="1"/>
  <c r="BB4" i="1"/>
  <c r="BA4" i="1"/>
  <c r="BC5" i="1" l="1"/>
  <c r="BE5" i="1"/>
  <c r="BF2" i="1"/>
  <c r="BE7" i="1"/>
  <c r="BE3" i="1"/>
  <c r="BE2" i="1"/>
  <c r="BA7" i="1"/>
  <c r="BA3" i="1"/>
  <c r="BD2" i="1"/>
  <c r="BC1" i="1" s="1"/>
  <c r="BA2" i="1"/>
  <c r="BA5" i="1"/>
  <c r="BC7" i="1"/>
  <c r="BC2" i="1"/>
  <c r="BB2" i="1"/>
  <c r="BA1" i="1" s="1"/>
  <c r="BC3" i="1"/>
  <c r="I4" i="1"/>
  <c r="J4" i="1"/>
  <c r="K4" i="1"/>
  <c r="L4" i="1"/>
  <c r="M4" i="1"/>
  <c r="N4" i="1"/>
  <c r="O4" i="1"/>
  <c r="P4" i="1"/>
  <c r="Q4" i="1"/>
  <c r="R4" i="1"/>
  <c r="S4" i="1"/>
  <c r="T4" i="1"/>
  <c r="U4" i="1"/>
  <c r="V4" i="1"/>
  <c r="W4" i="1"/>
  <c r="X4" i="1"/>
  <c r="Y4" i="1"/>
  <c r="Z4" i="1"/>
  <c r="AA4" i="1"/>
  <c r="AB4" i="1"/>
  <c r="AC4" i="1"/>
  <c r="AD4" i="1"/>
  <c r="AE4" i="1"/>
  <c r="AF4" i="1"/>
  <c r="AG4" i="1"/>
  <c r="AH4" i="1"/>
  <c r="AI4" i="1"/>
  <c r="AJ4" i="1"/>
  <c r="AK4" i="1"/>
  <c r="AL4" i="1"/>
  <c r="AM4" i="1"/>
  <c r="AN4" i="1"/>
  <c r="AO4" i="1"/>
  <c r="AP4" i="1"/>
  <c r="AQ4" i="1"/>
  <c r="AR4" i="1"/>
  <c r="AS4" i="1"/>
  <c r="AT4" i="1"/>
  <c r="AU4" i="1"/>
  <c r="AV4" i="1"/>
  <c r="AW4" i="1"/>
  <c r="AX4" i="1"/>
  <c r="AY4" i="1"/>
  <c r="AZ4" i="1"/>
  <c r="I6" i="1"/>
  <c r="J6" i="1"/>
  <c r="M6" i="1"/>
  <c r="N6" i="1"/>
  <c r="O6" i="1"/>
  <c r="P6" i="1"/>
  <c r="Q6" i="1"/>
  <c r="R6" i="1"/>
  <c r="S6" i="1"/>
  <c r="T6" i="1"/>
  <c r="U6" i="1"/>
  <c r="V6" i="1"/>
  <c r="W6" i="1"/>
  <c r="X6" i="1"/>
  <c r="Y6" i="1"/>
  <c r="Z6" i="1"/>
  <c r="AA6" i="1"/>
  <c r="AB6" i="1"/>
  <c r="AC6" i="1"/>
  <c r="AD6" i="1"/>
  <c r="AE6" i="1"/>
  <c r="AF6" i="1"/>
  <c r="AG6" i="1"/>
  <c r="AH6" i="1"/>
  <c r="AI6" i="1"/>
  <c r="AJ6" i="1"/>
  <c r="AK6" i="1"/>
  <c r="AL6" i="1"/>
  <c r="AM6" i="1"/>
  <c r="AN6" i="1"/>
  <c r="AO6" i="1"/>
  <c r="AP6" i="1"/>
  <c r="AQ6" i="1"/>
  <c r="AR6" i="1"/>
  <c r="AS6" i="1"/>
  <c r="AT6" i="1"/>
  <c r="AU6" i="1"/>
  <c r="AV6" i="1"/>
  <c r="AW6" i="1"/>
  <c r="AX6" i="1"/>
  <c r="AY6" i="1"/>
  <c r="AZ6" i="1"/>
  <c r="I8" i="1"/>
  <c r="J8" i="1"/>
  <c r="K8" i="1"/>
  <c r="L8" i="1"/>
  <c r="M8" i="1"/>
  <c r="N8" i="1"/>
  <c r="O8" i="1"/>
  <c r="P8" i="1"/>
  <c r="Q8" i="1"/>
  <c r="R8" i="1"/>
  <c r="S8" i="1"/>
  <c r="T8" i="1"/>
  <c r="U8" i="1"/>
  <c r="V8" i="1"/>
  <c r="W8" i="1"/>
  <c r="X8" i="1"/>
  <c r="Y8" i="1"/>
  <c r="Z8" i="1"/>
  <c r="AA8" i="1"/>
  <c r="AB8" i="1"/>
  <c r="AC8" i="1"/>
  <c r="AD8" i="1"/>
  <c r="AE8" i="1"/>
  <c r="AF8" i="1"/>
  <c r="AG8" i="1"/>
  <c r="AH8" i="1"/>
  <c r="AI8" i="1"/>
  <c r="AJ8" i="1"/>
  <c r="AK8" i="1"/>
  <c r="AL8" i="1"/>
  <c r="AM8" i="1"/>
  <c r="AN8" i="1"/>
  <c r="AO8" i="1"/>
  <c r="AP8" i="1"/>
  <c r="AQ8" i="1"/>
  <c r="AR8" i="1"/>
  <c r="AS8" i="1"/>
  <c r="AT8" i="1"/>
  <c r="AU8" i="1"/>
  <c r="AV8" i="1"/>
  <c r="AW8" i="1"/>
  <c r="AX8" i="1"/>
  <c r="AY8" i="1"/>
  <c r="AZ8" i="1"/>
  <c r="E4" i="1"/>
  <c r="F4" i="1"/>
  <c r="G4" i="1"/>
  <c r="H4" i="1"/>
  <c r="E6" i="1"/>
  <c r="F6" i="1"/>
  <c r="G6" i="1"/>
  <c r="H6" i="1"/>
  <c r="E8" i="1"/>
  <c r="F8" i="1"/>
  <c r="G8" i="1"/>
  <c r="H8" i="1"/>
  <c r="D8" i="1"/>
  <c r="C8" i="1"/>
  <c r="C4" i="1"/>
  <c r="L121" i="1"/>
  <c r="L6" i="1" s="1"/>
  <c r="K121" i="1"/>
  <c r="K6" i="1" s="1"/>
  <c r="D121" i="1"/>
  <c r="D6" i="1" s="1"/>
  <c r="C121" i="1"/>
  <c r="C6" i="1" s="1"/>
  <c r="D4" i="1"/>
  <c r="BE1" i="1" l="1"/>
  <c r="K5" i="1"/>
  <c r="AI7" i="1"/>
  <c r="AW5" i="1"/>
  <c r="AA5" i="1"/>
  <c r="Y5" i="1"/>
  <c r="AU5" i="1"/>
  <c r="AI5" i="1"/>
  <c r="W5" i="1"/>
  <c r="I5" i="1"/>
  <c r="K7" i="1"/>
  <c r="AS3" i="1"/>
  <c r="AG3" i="1"/>
  <c r="U3" i="1"/>
  <c r="G5" i="1"/>
  <c r="E5" i="1"/>
  <c r="I3" i="1"/>
  <c r="S3" i="1"/>
  <c r="AS7" i="1"/>
  <c r="I7" i="1"/>
  <c r="S7" i="1"/>
  <c r="AK2" i="1"/>
  <c r="E2" i="1"/>
  <c r="AJ2" i="1"/>
  <c r="X2" i="1"/>
  <c r="L2" i="1"/>
  <c r="AE3" i="1"/>
  <c r="U7" i="1"/>
  <c r="AQ7" i="1"/>
  <c r="F2" i="1"/>
  <c r="AW2" i="1"/>
  <c r="D2" i="1"/>
  <c r="AG7" i="1"/>
  <c r="AE7" i="1"/>
  <c r="AL2" i="1"/>
  <c r="AK1" i="1" s="1"/>
  <c r="Y2" i="1"/>
  <c r="AQ3" i="1"/>
  <c r="AT2" i="1"/>
  <c r="AS1" i="1" s="1"/>
  <c r="AH2" i="1"/>
  <c r="J2" i="1"/>
  <c r="AR2" i="1"/>
  <c r="AF2" i="1"/>
  <c r="AE1" i="1" s="1"/>
  <c r="AC7" i="1"/>
  <c r="AQ5" i="1"/>
  <c r="AP2" i="1"/>
  <c r="AO1" i="1" s="1"/>
  <c r="AD2" i="1"/>
  <c r="AC5" i="1"/>
  <c r="E7" i="1"/>
  <c r="AK7" i="1"/>
  <c r="AY5" i="1"/>
  <c r="AM5" i="1"/>
  <c r="O5" i="1"/>
  <c r="AG2" i="1"/>
  <c r="AO7" i="1"/>
  <c r="AE2" i="1"/>
  <c r="S5" i="1"/>
  <c r="AE5" i="1"/>
  <c r="AO5" i="1"/>
  <c r="Q5" i="1"/>
  <c r="AN2" i="1"/>
  <c r="P2" i="1"/>
  <c r="Y7" i="1"/>
  <c r="W7" i="1"/>
  <c r="AK5" i="1"/>
  <c r="M5" i="1"/>
  <c r="AM2" i="1"/>
  <c r="O2" i="1"/>
  <c r="AU3" i="1"/>
  <c r="W3" i="1"/>
  <c r="T2" i="1"/>
  <c r="C7" i="1"/>
  <c r="Z2" i="1"/>
  <c r="AZ2" i="1"/>
  <c r="AY1" i="1" s="1"/>
  <c r="I2" i="1"/>
  <c r="Q7" i="1"/>
  <c r="R2" i="1"/>
  <c r="AU7" i="1"/>
  <c r="AV2" i="1"/>
  <c r="AU1" i="1" s="1"/>
  <c r="AB2" i="1"/>
  <c r="M7" i="1"/>
  <c r="N2" i="1"/>
  <c r="M2" i="1"/>
  <c r="H2" i="1"/>
  <c r="AW7" i="1"/>
  <c r="AX2" i="1"/>
  <c r="AW1" i="1" s="1"/>
  <c r="V2" i="1"/>
  <c r="G7" i="1"/>
  <c r="G2" i="1"/>
  <c r="C2" i="1"/>
  <c r="AC3" i="1"/>
  <c r="AC2" i="1"/>
  <c r="AO2" i="1"/>
  <c r="AO3" i="1"/>
  <c r="Q2" i="1"/>
  <c r="Q3" i="1"/>
  <c r="AY3" i="1"/>
  <c r="AA3" i="1"/>
  <c r="AS5" i="1"/>
  <c r="U5" i="1"/>
  <c r="AU2" i="1"/>
  <c r="AI2" i="1"/>
  <c r="AY7" i="1"/>
  <c r="AM7" i="1"/>
  <c r="AA7" i="1"/>
  <c r="O7" i="1"/>
  <c r="AG5" i="1"/>
  <c r="W2" i="1"/>
  <c r="K2" i="1"/>
  <c r="AS2" i="1"/>
  <c r="U2" i="1"/>
  <c r="AM3" i="1"/>
  <c r="O3" i="1"/>
  <c r="AK3" i="1"/>
  <c r="M3" i="1"/>
  <c r="AQ2" i="1"/>
  <c r="S2" i="1"/>
  <c r="AI3" i="1"/>
  <c r="K3" i="1"/>
  <c r="AY2" i="1"/>
  <c r="AA2" i="1"/>
  <c r="AW3" i="1"/>
  <c r="Y3" i="1"/>
  <c r="G3" i="1"/>
  <c r="E3" i="1"/>
  <c r="C3" i="1"/>
  <c r="C5" i="1"/>
  <c r="Y1" i="1" l="1"/>
  <c r="AM1" i="1"/>
  <c r="AC1" i="1"/>
  <c r="AQ1" i="1"/>
  <c r="AI1" i="1"/>
  <c r="U1" i="1"/>
  <c r="S1" i="1"/>
  <c r="AA1" i="1"/>
  <c r="O1" i="1"/>
  <c r="C1" i="1"/>
  <c r="AG1" i="1"/>
  <c r="K1" i="1"/>
  <c r="E1" i="1"/>
  <c r="I1" i="1"/>
  <c r="W1" i="1"/>
  <c r="G1" i="1"/>
  <c r="Q1" i="1"/>
  <c r="M1" i="1"/>
  <c r="BL72" i="1" l="1" a="1"/>
  <c r="BL72" i="1" s="1"/>
  <c r="A2" i="2" s="1" a="1"/>
  <c r="A2" i="2" s="1"/>
  <c r="BQ72" i="1" a="1"/>
  <c r="BQ72" i="1" s="1"/>
  <c r="BV104" i="1" a="1"/>
  <c r="BV104" i="1" s="1"/>
  <c r="BV130" i="1" a="1"/>
  <c r="BV130" i="1" s="1"/>
  <c r="CA130" i="1" a="1"/>
  <c r="CA130" i="1" s="1"/>
  <c r="BV72" i="1" a="1"/>
  <c r="BV72" i="1" s="1"/>
  <c r="BJ84" i="1"/>
  <c r="BJ4" i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<sst xmlns="http://schemas.openxmlformats.org/spreadsheetml/2006/main" count="335" uniqueCount="91">
  <si>
    <t>global</t>
  </si>
  <si>
    <t>moyenne</t>
  </si>
  <si>
    <t>/</t>
  </si>
  <si>
    <t>total (point, partie)</t>
  </si>
  <si>
    <t>q1</t>
  </si>
  <si>
    <t>q2</t>
  </si>
  <si>
    <t>Jules</t>
  </si>
  <si>
    <t>ok</t>
  </si>
  <si>
    <t>classement</t>
  </si>
  <si>
    <t>&gt;moyenne</t>
  </si>
  <si>
    <t>dernier</t>
  </si>
  <si>
    <t>manque de partie</t>
  </si>
  <si>
    <t>&lt;moyenne</t>
  </si>
  <si>
    <t>avant-dernier</t>
  </si>
  <si>
    <t>avant-avant-dernier</t>
  </si>
  <si>
    <t>moyenne d'une partie</t>
  </si>
  <si>
    <t>partie &lt; (-2)</t>
  </si>
  <si>
    <t>partie &gt; 10</t>
  </si>
  <si>
    <t>partie &lt;  2</t>
  </si>
  <si>
    <t>Robin</t>
  </si>
  <si>
    <t>Quentin</t>
  </si>
  <si>
    <t>Maxime_Ca</t>
  </si>
  <si>
    <t>cayfas a la feuille</t>
  </si>
  <si>
    <t>achille ?</t>
  </si>
  <si>
    <t xml:space="preserve">achille ? </t>
  </si>
  <si>
    <t>vide</t>
  </si>
  <si>
    <t>sépa</t>
  </si>
  <si>
    <t>q1q2-2025</t>
  </si>
  <si>
    <t>aide progra</t>
  </si>
  <si>
    <t xml:space="preserve"> </t>
  </si>
  <si>
    <t xml:space="preserve">1er  </t>
  </si>
  <si>
    <t>2ème</t>
  </si>
  <si>
    <t>3ème</t>
  </si>
  <si>
    <t>Stanislas</t>
  </si>
  <si>
    <t>Lou</t>
  </si>
  <si>
    <t>classement avec inactif</t>
  </si>
  <si>
    <t>noms</t>
  </si>
  <si>
    <t>moyennes</t>
  </si>
  <si>
    <t>partie &gt; 12</t>
  </si>
  <si>
    <t>Joey</t>
  </si>
  <si>
    <t>Hors classement</t>
  </si>
  <si>
    <t>moyennes virtuelles</t>
  </si>
  <si>
    <t>nombre de parties</t>
  </si>
  <si>
    <t>légende</t>
  </si>
  <si>
    <t>entre 50 et 100</t>
  </si>
  <si>
    <t>entre 100 et 250</t>
  </si>
  <si>
    <t>entre 250 et 500</t>
  </si>
  <si>
    <t>entre 500 et 1000</t>
  </si>
  <si>
    <t>plus de 1000</t>
  </si>
  <si>
    <t>mise à jour jusque BF</t>
  </si>
  <si>
    <t>entre 20 et 50</t>
  </si>
  <si>
    <t>entre 1 et 10</t>
  </si>
  <si>
    <t>entre 10 et 20</t>
  </si>
  <si>
    <t>statistiquement</t>
  </si>
  <si>
    <t>inutile</t>
  </si>
  <si>
    <t>pas fiable</t>
  </si>
  <si>
    <t>solide</t>
  </si>
  <si>
    <t>fiable</t>
  </si>
  <si>
    <t>très fiable</t>
  </si>
  <si>
    <t>exploratoire</t>
  </si>
  <si>
    <t>anecdotique</t>
  </si>
  <si>
    <t>inexploitable</t>
  </si>
  <si>
    <t>indiscutable</t>
  </si>
  <si>
    <t>négligeable</t>
  </si>
  <si>
    <t>fragile</t>
  </si>
  <si>
    <t>à confirmer</t>
  </si>
  <si>
    <t>fondé</t>
  </si>
  <si>
    <t>crédible</t>
  </si>
  <si>
    <t>très robuste</t>
  </si>
  <si>
    <t>irréfutable</t>
  </si>
  <si>
    <t>Achille</t>
  </si>
  <si>
    <t>Mehdi</t>
  </si>
  <si>
    <t>Boris</t>
  </si>
  <si>
    <t>Samuel</t>
  </si>
  <si>
    <t>Joachim</t>
  </si>
  <si>
    <t>Damien</t>
  </si>
  <si>
    <t>Gauthier</t>
  </si>
  <si>
    <t>Célian</t>
  </si>
  <si>
    <t>Tom</t>
  </si>
  <si>
    <t>Luca</t>
  </si>
  <si>
    <t>Loulou</t>
  </si>
  <si>
    <t>Paul</t>
  </si>
  <si>
    <t>Marie</t>
  </si>
  <si>
    <t>Harrison</t>
  </si>
  <si>
    <t>William</t>
  </si>
  <si>
    <t>Fantinne</t>
  </si>
  <si>
    <t>Pascale</t>
  </si>
  <si>
    <t>Maxime_Go</t>
  </si>
  <si>
    <t>Aurélien</t>
  </si>
  <si>
    <t>Émile</t>
  </si>
  <si>
    <t>Amélie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</si>
</sst>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rgb="FF000000"/>
      <name val="Aptos Narrow"/>
      <family val="2"/>
    </font>
    <font>
      <sz val="11"/>
      <color rgb="FF000000"/>
      <name val="Aptos Narrow"/>
      <family val="2"/>
    </font>
    <font>
      <sz val="11"/>
      <name val="Aptos Narrow"/>
      <family val="2"/>
    </font>
  </fonts>
  <fills count="23">
    <fill>
      <patternFill patternType="none"/>
    </fill>
    <fill>
      <patternFill patternType="gray125"/>
    </fill>
    <fill>
      <patternFill patternType="solid">
        <fgColor rgb="FFFFC000"/>
        <bgColor rgb="FFFFC000"/>
      </patternFill>
    </fill>
    <fill>
      <patternFill patternType="solid">
        <fgColor rgb="FFFF9900"/>
        <bgColor rgb="FFFF9900"/>
      </patternFill>
    </fill>
    <fill>
      <patternFill patternType="solid">
        <fgColor rgb="FFFF0000"/>
        <bgColor rgb="FFFF0000"/>
      </patternFill>
    </fill>
    <fill>
      <patternFill patternType="solid">
        <fgColor rgb="FFB5E6A2"/>
        <bgColor rgb="FFB5E6A2"/>
      </patternFill>
    </fill>
    <fill>
      <patternFill patternType="solid">
        <fgColor rgb="FF92D050"/>
        <bgColor rgb="FF92D050"/>
      </patternFill>
    </fill>
    <fill>
      <patternFill patternType="solid">
        <fgColor rgb="FF00B050"/>
        <bgColor rgb="FF00B050"/>
      </patternFill>
    </fill>
    <fill>
      <patternFill patternType="solid">
        <fgColor rgb="FF00B0F0"/>
        <bgColor rgb="FF00B0F0"/>
      </patternFill>
    </fill>
    <fill>
      <patternFill patternType="solid">
        <fgColor rgb="FFBFBFBF"/>
        <bgColor rgb="FFBFBFBF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rgb="FFFF5050"/>
        <bgColor indexed="64"/>
      </patternFill>
    </fill>
    <fill>
      <patternFill patternType="solid">
        <fgColor theme="5" tint="0.39997558519241921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theme="0" tint="-0.499984740745262"/>
        <bgColor indexed="64"/>
      </patternFill>
    </fill>
    <fill>
      <patternFill patternType="solid">
        <fgColor theme="0" tint="-0.249977111117893"/>
        <bgColor indexed="64"/>
      </patternFill>
    </fill>
  </fills>
  <borders count="1">
    <border>
      <left/>
      <right/>
      <top/>
      <bottom/>
      <diagonal/>
    </border>
  </borders>
  <cellStyleXfs count="8">
    <xf numFmtId="0" fontId="0" fillId="0" borderId="0"/>
    <xf numFmtId="0" fontId="1" fillId="2" borderId="0" applyNumberFormat="0" applyFont="0" applyBorder="0" applyAlignment="0" applyProtection="0"/>
    <xf numFmtId="0" fontId="1" fillId="3" borderId="0" applyNumberFormat="0" applyFont="0" applyBorder="0" applyAlignment="0" applyProtection="0"/>
    <xf numFmtId="0" fontId="1" fillId="4" borderId="0" applyNumberFormat="0" applyFont="0" applyBorder="0" applyAlignment="0" applyProtection="0"/>
    <xf numFmtId="0" fontId="1" fillId="5" borderId="0" applyNumberFormat="0" applyFont="0" applyBorder="0" applyAlignment="0" applyProtection="0"/>
    <xf numFmtId="0" fontId="1" fillId="6" borderId="0" applyNumberFormat="0" applyFont="0" applyBorder="0" applyAlignment="0" applyProtection="0"/>
    <xf numFmtId="0" fontId="1" fillId="7" borderId="0" applyNumberFormat="0" applyFont="0" applyBorder="0" applyAlignment="0" applyProtection="0"/>
    <xf numFmtId="0" fontId="1" fillId="8" borderId="0" applyNumberFormat="0" applyFont="0" applyBorder="0" applyAlignment="0" applyProtection="0"/>
  </cellStyleXfs>
  <cellXfs count="28">
    <xf numFmtId="0" fontId="0" fillId="0" borderId="0" xfId="0"/>
    <xf numFmtId="0" fontId="0" fillId="0" borderId="0" xfId="0" applyAlignment="1">
      <alignment horizontal="center" vertical="center"/>
    </xf>
    <xf numFmtId="0" fontId="0" fillId="7" borderId="0" xfId="0" applyFill="1" applyAlignment="1">
      <alignment horizontal="center" vertical="center"/>
    </xf>
    <xf numFmtId="0" fontId="0" fillId="6" borderId="0" xfId="0" applyFill="1" applyAlignment="1">
      <alignment horizontal="center" vertical="center"/>
    </xf>
    <xf numFmtId="0" fontId="0" fillId="5" borderId="0" xfId="0" applyFill="1" applyAlignment="1">
      <alignment horizontal="center" vertical="center"/>
    </xf>
    <xf numFmtId="0" fontId="0" fillId="8" borderId="0" xfId="0" applyFill="1" applyAlignment="1">
      <alignment horizontal="center" vertical="center"/>
    </xf>
    <xf numFmtId="0" fontId="0" fillId="9" borderId="0" xfId="0" applyFill="1" applyAlignment="1">
      <alignment horizontal="center" vertical="center"/>
    </xf>
    <xf numFmtId="0" fontId="0" fillId="2" borderId="0" xfId="0" applyFill="1" applyAlignment="1">
      <alignment horizontal="center" vertical="center"/>
    </xf>
    <xf numFmtId="0" fontId="0" fillId="3" borderId="0" xfId="0" applyFill="1" applyAlignment="1">
      <alignment horizontal="center" vertical="center"/>
    </xf>
    <xf numFmtId="0" fontId="0" fillId="4" borderId="0" xfId="0" applyFill="1" applyAlignment="1">
      <alignment horizontal="center" vertical="center"/>
    </xf>
    <xf numFmtId="0" fontId="0" fillId="10" borderId="0" xfId="0" applyFill="1" applyAlignment="1">
      <alignment horizontal="center" vertical="center"/>
    </xf>
    <xf numFmtId="0" fontId="0" fillId="11" borderId="0" xfId="0" applyFill="1" applyAlignment="1">
      <alignment horizontal="center" vertical="center"/>
    </xf>
    <xf numFmtId="0" fontId="2" fillId="13" borderId="0" xfId="0" applyFont="1" applyFill="1" applyAlignment="1">
      <alignment horizontal="center" vertical="center"/>
    </xf>
    <xf numFmtId="0" fontId="0" fillId="14" borderId="0" xfId="0" applyFill="1" applyAlignment="1">
      <alignment horizontal="center" vertical="center"/>
    </xf>
    <xf numFmtId="0" fontId="0" fillId="12" borderId="0" xfId="0" applyFill="1" applyAlignment="1">
      <alignment horizontal="center" vertical="center"/>
    </xf>
    <xf numFmtId="0" fontId="0" fillId="0" borderId="0" xfId="0" applyAlignment="1">
      <alignment horizontal="center" vertical="center" wrapText="1"/>
    </xf>
    <xf numFmtId="0" fontId="0" fillId="0" borderId="0" xfId="0" quotePrefix="1" applyAlignment="1">
      <alignment horizontal="center" vertical="center" wrapText="1"/>
    </xf>
    <xf numFmtId="0" fontId="0" fillId="15" borderId="0" xfId="0" applyFill="1" applyAlignment="1">
      <alignment horizontal="center" vertical="center"/>
    </xf>
    <xf numFmtId="0" fontId="0" fillId="16" borderId="0" xfId="0" applyFill="1" applyAlignment="1">
      <alignment horizontal="center" vertical="center"/>
    </xf>
    <xf numFmtId="0" fontId="0" fillId="17" borderId="0" xfId="0" applyFill="1" applyAlignment="1">
      <alignment horizontal="center" vertical="center"/>
    </xf>
    <xf numFmtId="0" fontId="0" fillId="18" borderId="0" xfId="0" applyFill="1" applyAlignment="1">
      <alignment horizontal="center" vertical="center"/>
    </xf>
    <xf numFmtId="0" fontId="0" fillId="19" borderId="0" xfId="0" applyFill="1" applyAlignment="1">
      <alignment horizontal="center" vertical="center"/>
    </xf>
    <xf numFmtId="0" fontId="0" fillId="20" borderId="0" xfId="0" applyFill="1" applyAlignment="1">
      <alignment horizontal="center" vertical="center"/>
    </xf>
    <xf numFmtId="0" fontId="0" fillId="21" borderId="0" xfId="0" applyFill="1" applyAlignment="1">
      <alignment horizontal="center" vertical="center"/>
    </xf>
    <xf numFmtId="0" fontId="0" fillId="22" borderId="0" xfId="0" applyFill="1" applyAlignment="1">
      <alignment horizontal="center" vertical="center"/>
    </xf>
    <xf numFmtId="0" fontId="0" fillId="0" borderId="0" xfId="0" applyAlignment="1">
      <alignment horizontal="center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horizontal="center" vertical="center"/>
    </xf>
  </cellXfs>
  <cellStyles count="8">
    <cellStyle name="cf1" xfId="1" xr:uid="{00000000-0005-0000-0000-000000000000}"/>
    <cellStyle name="cf2" xfId="2" xr:uid="{00000000-0005-0000-0000-000001000000}"/>
    <cellStyle name="cf3" xfId="3" xr:uid="{00000000-0005-0000-0000-000002000000}"/>
    <cellStyle name="cf4" xfId="4" xr:uid="{00000000-0005-0000-0000-000003000000}"/>
    <cellStyle name="cf5" xfId="5" xr:uid="{00000000-0005-0000-0000-000004000000}"/>
    <cellStyle name="cf6" xfId="6" xr:uid="{00000000-0005-0000-0000-000005000000}"/>
    <cellStyle name="cf7" xfId="7" xr:uid="{00000000-0005-0000-0000-000006000000}"/>
    <cellStyle name="Normal" xfId="0" builtinId="0" customBuiltin="1"/>
  </cellStyles>
  <dxfs count="25">
    <dxf>
      <fill>
        <patternFill>
          <bgColor theme="0" tint="-0.24994659260841701"/>
        </patternFill>
      </fill>
    </dxf>
    <dxf>
      <fill>
        <patternFill>
          <bgColor theme="0" tint="-0.499984740745262"/>
        </patternFill>
      </fill>
    </dxf>
    <dxf>
      <fill>
        <patternFill>
          <bgColor rgb="FF00B050"/>
        </patternFill>
      </fill>
    </dxf>
    <dxf>
      <fill>
        <patternFill>
          <bgColor rgb="FF92D050"/>
        </patternFill>
      </fill>
    </dxf>
    <dxf>
      <fill>
        <patternFill>
          <bgColor theme="9" tint="0.59996337778862885"/>
        </patternFill>
      </fill>
    </dxf>
    <dxf>
      <fill>
        <patternFill>
          <bgColor rgb="FFFFC000"/>
        </patternFill>
      </fill>
    </dxf>
    <dxf>
      <fill>
        <patternFill>
          <bgColor rgb="FFFF0000"/>
        </patternFill>
      </fill>
    </dxf>
    <dxf>
      <fill>
        <patternFill>
          <bgColor theme="9" tint="-0.24994659260841701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>
          <bgColor theme="6" tint="0.59996337778862885"/>
        </patternFill>
      </fill>
    </dxf>
    <dxf>
      <fill>
        <patternFill>
          <bgColor theme="5" tint="0.39994506668294322"/>
        </patternFill>
      </fill>
    </dxf>
    <dxf>
      <fill>
        <patternFill>
          <bgColor rgb="FFFF5050"/>
        </patternFill>
      </fill>
    </dxf>
    <dxf>
      <fill>
        <patternFill>
          <bgColor theme="6" tint="0.39994506668294322"/>
        </patternFill>
      </fill>
    </dxf>
    <dxf>
      <fill>
        <patternFill patternType="solid">
          <fgColor rgb="FF00B050"/>
          <bgColor rgb="FF00B050"/>
        </patternFill>
      </fill>
    </dxf>
    <dxf>
      <fill>
        <patternFill patternType="solid">
          <fgColor rgb="FF92D050"/>
          <bgColor rgb="FF92D050"/>
        </patternFill>
      </fill>
    </dxf>
    <dxf>
      <fill>
        <patternFill patternType="solid">
          <fgColor rgb="FFB5E6A2"/>
          <bgColor rgb="FFB5E6A2"/>
        </patternFill>
      </fill>
    </dxf>
    <dxf>
      <fill>
        <patternFill patternType="solid">
          <fgColor rgb="FFFF0000"/>
          <bgColor rgb="FFFF0000"/>
        </patternFill>
      </fill>
    </dxf>
    <dxf>
      <fill>
        <patternFill patternType="solid">
          <fgColor rgb="FFFF9900"/>
          <bgColor rgb="FFFF9900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00B0F0"/>
          <bgColor rgb="FF00B0F0"/>
        </patternFill>
      </fill>
    </dxf>
    <dxf>
      <fill>
        <patternFill patternType="solid">
          <fgColor auto="1"/>
          <bgColor theme="2" tint="-9.9948118533890809E-2"/>
        </patternFill>
      </fill>
    </dxf>
    <dxf>
      <fill>
        <patternFill patternType="solid">
          <fgColor rgb="FF00B0F0"/>
          <bgColor theme="5" tint="0.79998168889431442"/>
        </patternFill>
      </fill>
    </dxf>
  </dxfs>
  <tableStyles count="0" defaultTableStyle="TableStyleMedium2" defaultPivotStyle="PivotStyleLight16"/>
  <colors>
    <mruColors>
      <color rgb="FFFF505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theme" Target="theme/theme1.xml"/><Relationship Id="rId7" Type="http://schemas.microsoft.com/office/2017/10/relationships/person" Target="persons/perso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eetMetadata" Target="metadata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persons/person.xml><?xml version="1.0" encoding="utf-8"?>
<personList xmlns="http://schemas.microsoft.com/office/spreadsheetml/2018/threadedcomments" xmlns:x="http://schemas.openxmlformats.org/spreadsheetml/2006/main"/>
</file>

<file path=xl/theme/theme1.xml><?xml version="1.0" encoding="utf-8"?>
<a:theme xmlns:a="http://schemas.openxmlformats.org/drawingml/2006/main" name="Thèm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B151"/>
  <sheetViews>
    <sheetView tabSelected="1" zoomScale="82" zoomScaleNormal="130" workbookViewId="0">
      <selection activeCell="N20" sqref="N20"/>
    </sheetView>
  </sheetViews>
  <sheetFormatPr baseColWidth="10" defaultRowHeight="14.4" x14ac:dyDescent="0.3"/>
  <cols>
    <col min="1" max="1" width="16.5546875" style="1" customWidth="1"/>
    <col min="2" max="2" width="16.77734375" style="1" customWidth="1"/>
    <col min="3" max="59" width="5.77734375" style="1" customWidth="1"/>
    <col min="60" max="60" width="11.5546875" style="1"/>
    <col min="61" max="61" width="18.33203125" style="1" customWidth="1"/>
    <col min="62" max="62" width="20.6640625" style="1" customWidth="1"/>
    <col min="63" max="63" width="11.5546875" style="1"/>
    <col min="64" max="64" width="16.88671875" style="1" customWidth="1"/>
    <col min="65" max="66" width="11.5546875" style="1"/>
    <col min="67" max="67" width="20.33203125" style="1" customWidth="1"/>
    <col min="68" max="68" width="23.6640625" style="1" customWidth="1"/>
    <col min="69" max="69" width="21.109375" style="1" customWidth="1"/>
    <col min="70" max="70" width="20.33203125" style="1" customWidth="1"/>
    <col min="71" max="71" width="19.21875" style="1" customWidth="1"/>
    <col min="72" max="72" width="20.77734375" style="1" customWidth="1"/>
    <col min="73" max="73" width="15.77734375" style="1" customWidth="1"/>
    <col min="74" max="16384" width="11.5546875" style="1"/>
  </cols>
  <sheetData>
    <row r="1" spans="1:63" x14ac:dyDescent="0.3">
      <c r="A1" s="1" t="s">
        <v>0</v>
      </c>
      <c r="B1" s="1" t="s">
        <v>1</v>
      </c>
      <c r="C1" s="1">
        <f t="shared" ref="C1" si="0">IF(D2&gt;19,C2/D2,"/")</f>
        <v>5.3470873786407767</v>
      </c>
      <c r="D1" s="1" t="s">
        <v>2</v>
      </c>
      <c r="E1" s="1">
        <f t="shared" ref="E1" si="1">IF(F2&gt;19,E2/F2,"/")</f>
        <v>5.7695961995249405</v>
      </c>
      <c r="F1" s="1" t="s">
        <v>2</v>
      </c>
      <c r="G1" s="1">
        <f t="shared" ref="G1" si="2">IF(H2&gt;19,G2/H2,"/")</f>
        <v>7.2625615763546794</v>
      </c>
      <c r="H1" s="1" t="s">
        <v>2</v>
      </c>
      <c r="I1" s="1">
        <f t="shared" ref="I1" si="3">IF(J2&gt;19,I2/J2,"/")</f>
        <v>5.9099526066350707</v>
      </c>
      <c r="J1" s="1" t="s">
        <v>2</v>
      </c>
      <c r="K1" s="1">
        <f t="shared" ref="K1" si="4">IF(L2&gt;19,K2/L2,"/")</f>
        <v>6.2019230769230766</v>
      </c>
      <c r="L1" s="1" t="s">
        <v>2</v>
      </c>
      <c r="M1" s="1">
        <f t="shared" ref="M1" si="5">IF(N2&gt;19,M2/N2,"/")</f>
        <v>5.5986509274873528</v>
      </c>
      <c r="N1" s="1" t="s">
        <v>2</v>
      </c>
      <c r="O1" s="1">
        <f t="shared" ref="O1" si="6">IF(P2&gt;19,O2/P2,"/")</f>
        <v>7.3913043478260869</v>
      </c>
      <c r="P1" s="1" t="s">
        <v>2</v>
      </c>
      <c r="Q1" s="1">
        <f t="shared" ref="Q1" si="7">IF(R2&gt;19,Q2/R2,"/")</f>
        <v>6.2357723577235769</v>
      </c>
      <c r="R1" s="1" t="s">
        <v>2</v>
      </c>
      <c r="S1" s="1">
        <f t="shared" ref="S1" si="8">IF(T2&gt;19,S2/T2,"/")</f>
        <v>6.1088082901554408</v>
      </c>
      <c r="T1" s="1" t="s">
        <v>2</v>
      </c>
      <c r="U1" s="1">
        <f t="shared" ref="U1" si="9">IF(V2&gt;19,U2/V2,"/")</f>
        <v>3.0112359550561796</v>
      </c>
      <c r="V1" s="1" t="s">
        <v>2</v>
      </c>
      <c r="W1" s="1">
        <f t="shared" ref="W1" si="10">IF(X2&gt;19,W2/X2,"/")</f>
        <v>2.0746268656716418</v>
      </c>
      <c r="X1" s="1" t="s">
        <v>2</v>
      </c>
      <c r="Y1" s="1">
        <f t="shared" ref="Y1" si="11">IF(Z2&gt;19,Y2/Z2,"/")</f>
        <v>4.8125</v>
      </c>
      <c r="Z1" s="1" t="s">
        <v>2</v>
      </c>
      <c r="AA1" s="1">
        <f t="shared" ref="AA1" si="12">IF(AB2&gt;19,AA2/AB2,"/")</f>
        <v>4.21875</v>
      </c>
      <c r="AB1" s="1" t="s">
        <v>2</v>
      </c>
      <c r="AC1" s="1">
        <f>IF(AD2&gt;19,AC2/AD2,"/")</f>
        <v>4.7410071942446042</v>
      </c>
      <c r="AD1" s="1" t="s">
        <v>2</v>
      </c>
      <c r="AE1" s="1" t="str">
        <f t="shared" ref="AE1" si="13">IF(AF2&gt;19,AE2/AF2,"/")</f>
        <v>/</v>
      </c>
      <c r="AF1" s="1" t="s">
        <v>2</v>
      </c>
      <c r="AG1" s="1">
        <f t="shared" ref="AG1" si="14">IF(AH2&gt;19,AG2/AH2,"/")</f>
        <v>6.068965517241379</v>
      </c>
      <c r="AH1" s="1" t="s">
        <v>2</v>
      </c>
      <c r="AI1" s="1">
        <f t="shared" ref="AI1" si="15">IF(AJ2&gt;19,AI2/AJ2,"/")</f>
        <v>2.9607843137254903</v>
      </c>
      <c r="AJ1" s="1" t="s">
        <v>2</v>
      </c>
      <c r="AK1" s="1" t="str">
        <f t="shared" ref="AK1" si="16">IF(AL2&gt;19,AK2/AL2,"/")</f>
        <v>/</v>
      </c>
      <c r="AL1" s="1" t="s">
        <v>2</v>
      </c>
      <c r="AM1" s="1">
        <f t="shared" ref="AM1" si="17">IF(AN2&gt;19,AM2/AN2,"/")</f>
        <v>2.9333333333333331</v>
      </c>
      <c r="AN1" s="1" t="s">
        <v>2</v>
      </c>
      <c r="AO1" s="1" t="str">
        <f t="shared" ref="AO1" si="18">IF(AP2&gt;19,AO2/AP2,"/")</f>
        <v>/</v>
      </c>
      <c r="AP1" s="1" t="s">
        <v>2</v>
      </c>
      <c r="AQ1" s="1">
        <f t="shared" ref="AQ1" si="19">IF(AR2&gt;19,AQ2/AR2,"/")</f>
        <v>5.0149253731343286</v>
      </c>
      <c r="AR1" s="1" t="s">
        <v>2</v>
      </c>
      <c r="AS1" s="1" t="str">
        <f t="shared" ref="AS1" si="20">IF(AT2&gt;19,AS2/AT2,"/")</f>
        <v>/</v>
      </c>
      <c r="AT1" s="1" t="s">
        <v>2</v>
      </c>
      <c r="AU1" s="1" t="str">
        <f t="shared" ref="AU1" si="21">IF(AV2&gt;19,AU2/AV2,"/")</f>
        <v>/</v>
      </c>
      <c r="AV1" s="1" t="s">
        <v>2</v>
      </c>
      <c r="AW1" s="1" t="str">
        <f t="shared" ref="AW1" si="22">IF(AX2&gt;19,AW2/AX2,"/")</f>
        <v>/</v>
      </c>
      <c r="AX1" s="1" t="s">
        <v>2</v>
      </c>
      <c r="AY1" s="1" t="str">
        <f t="shared" ref="AY1" si="23">IF(AZ2&gt;19,AY2/AZ2,"/")</f>
        <v>/</v>
      </c>
      <c r="AZ1" s="1" t="s">
        <v>2</v>
      </c>
      <c r="BA1" s="1" t="str">
        <f t="shared" ref="BA1" si="24">IF(BB2&gt;19,BA2/BB2,"/")</f>
        <v>/</v>
      </c>
      <c r="BB1" s="1" t="s">
        <v>2</v>
      </c>
      <c r="BC1" s="1" t="str">
        <f t="shared" ref="BC1" si="25">IF(BD2&gt;19,BC2/BD2,"/")</f>
        <v>/</v>
      </c>
      <c r="BD1" s="1" t="s">
        <v>2</v>
      </c>
      <c r="BE1" s="1">
        <f t="shared" ref="BE1" si="26">IF(BF2&gt;19,BE2/BF2,"/")</f>
        <v>5.5526315789473681</v>
      </c>
      <c r="BF1" s="1" t="s">
        <v>2</v>
      </c>
    </row>
    <row r="2" spans="1:63" x14ac:dyDescent="0.3">
      <c r="B2" s="1" t="s">
        <v>3</v>
      </c>
      <c r="C2" s="1">
        <f>C4+C6+C8</f>
        <v>4406</v>
      </c>
      <c r="D2" s="1">
        <f>D4+D6+D8</f>
        <v>824</v>
      </c>
      <c r="E2" s="1">
        <f t="shared" ref="E2:J2" si="27">E4+E6+E8</f>
        <v>2429</v>
      </c>
      <c r="F2" s="1">
        <f t="shared" si="27"/>
        <v>421</v>
      </c>
      <c r="G2" s="1">
        <f t="shared" si="27"/>
        <v>7371.5</v>
      </c>
      <c r="H2" s="1">
        <f t="shared" si="27"/>
        <v>1015</v>
      </c>
      <c r="I2" s="1">
        <f t="shared" si="27"/>
        <v>1247</v>
      </c>
      <c r="J2" s="1">
        <f t="shared" si="27"/>
        <v>211</v>
      </c>
      <c r="K2" s="1">
        <f t="shared" ref="K2:AZ2" si="28">K4+K6+K8</f>
        <v>645</v>
      </c>
      <c r="L2" s="1">
        <f t="shared" si="28"/>
        <v>104</v>
      </c>
      <c r="M2" s="1">
        <f t="shared" si="28"/>
        <v>3320</v>
      </c>
      <c r="N2" s="1">
        <f t="shared" si="28"/>
        <v>593</v>
      </c>
      <c r="O2" s="1">
        <f t="shared" si="28"/>
        <v>510</v>
      </c>
      <c r="P2" s="1">
        <f t="shared" si="28"/>
        <v>69</v>
      </c>
      <c r="Q2" s="1">
        <f t="shared" si="28"/>
        <v>1534</v>
      </c>
      <c r="R2" s="1">
        <f t="shared" si="28"/>
        <v>246</v>
      </c>
      <c r="S2" s="1">
        <f t="shared" si="28"/>
        <v>1179</v>
      </c>
      <c r="T2" s="1">
        <f t="shared" si="28"/>
        <v>193</v>
      </c>
      <c r="U2" s="1">
        <f t="shared" si="28"/>
        <v>536</v>
      </c>
      <c r="V2" s="1">
        <f t="shared" si="28"/>
        <v>178</v>
      </c>
      <c r="W2" s="1">
        <f t="shared" si="28"/>
        <v>139</v>
      </c>
      <c r="X2" s="1">
        <f t="shared" si="28"/>
        <v>67</v>
      </c>
      <c r="Y2" s="1">
        <f t="shared" si="28"/>
        <v>154</v>
      </c>
      <c r="Z2" s="1">
        <f t="shared" si="28"/>
        <v>32</v>
      </c>
      <c r="AA2" s="1">
        <f t="shared" si="28"/>
        <v>877.5</v>
      </c>
      <c r="AB2" s="1">
        <f t="shared" si="28"/>
        <v>208</v>
      </c>
      <c r="AC2" s="1">
        <f t="shared" si="28"/>
        <v>659</v>
      </c>
      <c r="AD2" s="1">
        <f t="shared" si="28"/>
        <v>139</v>
      </c>
      <c r="AE2" s="1">
        <f t="shared" si="28"/>
        <v>27</v>
      </c>
      <c r="AF2" s="1">
        <f t="shared" si="28"/>
        <v>5</v>
      </c>
      <c r="AG2" s="1">
        <f t="shared" si="28"/>
        <v>176</v>
      </c>
      <c r="AH2" s="1">
        <f t="shared" si="28"/>
        <v>29</v>
      </c>
      <c r="AI2" s="1">
        <f t="shared" si="28"/>
        <v>151</v>
      </c>
      <c r="AJ2" s="1">
        <f t="shared" si="28"/>
        <v>51</v>
      </c>
      <c r="AK2" s="1">
        <f t="shared" si="28"/>
        <v>121</v>
      </c>
      <c r="AL2" s="1">
        <f t="shared" si="28"/>
        <v>17</v>
      </c>
      <c r="AM2" s="1">
        <f t="shared" si="28"/>
        <v>176</v>
      </c>
      <c r="AN2" s="1">
        <f t="shared" si="28"/>
        <v>60</v>
      </c>
      <c r="AO2" s="1">
        <f t="shared" si="28"/>
        <v>-1</v>
      </c>
      <c r="AP2" s="1">
        <f t="shared" si="28"/>
        <v>12</v>
      </c>
      <c r="AQ2" s="1">
        <f t="shared" si="28"/>
        <v>336</v>
      </c>
      <c r="AR2" s="1">
        <f t="shared" si="28"/>
        <v>67</v>
      </c>
      <c r="AS2" s="1">
        <f t="shared" si="28"/>
        <v>8</v>
      </c>
      <c r="AT2" s="1">
        <f t="shared" si="28"/>
        <v>11</v>
      </c>
      <c r="AU2" s="1">
        <f t="shared" si="28"/>
        <v>34</v>
      </c>
      <c r="AV2" s="1">
        <f t="shared" si="28"/>
        <v>4</v>
      </c>
      <c r="AW2" s="1">
        <f t="shared" si="28"/>
        <v>14</v>
      </c>
      <c r="AX2" s="1">
        <f t="shared" si="28"/>
        <v>5</v>
      </c>
      <c r="AY2" s="1">
        <f t="shared" si="28"/>
        <v>43</v>
      </c>
      <c r="AZ2" s="1">
        <f t="shared" si="28"/>
        <v>13</v>
      </c>
      <c r="BA2" s="1">
        <f t="shared" ref="BA2:BD2" si="29">BA4+BA6+BA8</f>
        <v>34</v>
      </c>
      <c r="BB2" s="1">
        <f t="shared" si="29"/>
        <v>2</v>
      </c>
      <c r="BC2" s="1">
        <f t="shared" si="29"/>
        <v>64</v>
      </c>
      <c r="BD2" s="1">
        <f t="shared" si="29"/>
        <v>17</v>
      </c>
      <c r="BE2" s="1">
        <f t="shared" ref="BE2:BF2" si="30">BE4+BE6+BE8</f>
        <v>422</v>
      </c>
      <c r="BF2" s="1">
        <f t="shared" si="30"/>
        <v>76</v>
      </c>
    </row>
    <row r="3" spans="1:63" x14ac:dyDescent="0.3">
      <c r="A3" s="1" t="s">
        <v>4</v>
      </c>
      <c r="B3" s="1" t="s">
        <v>1</v>
      </c>
      <c r="C3" s="1">
        <f>C4/D4</f>
        <v>4.5925925925925926</v>
      </c>
      <c r="D3" s="1" t="s">
        <v>2</v>
      </c>
      <c r="E3" s="1">
        <f t="shared" ref="E3" si="31">E4/F4</f>
        <v>3.3414634146341462</v>
      </c>
      <c r="F3" s="1" t="s">
        <v>2</v>
      </c>
      <c r="G3" s="1">
        <f t="shared" ref="G3" si="32">G4/H4</f>
        <v>7.2666666666666666</v>
      </c>
      <c r="H3" s="1" t="s">
        <v>2</v>
      </c>
      <c r="I3" s="1">
        <f t="shared" ref="I3" si="33">I4/J4</f>
        <v>7.78125</v>
      </c>
      <c r="J3" s="1" t="s">
        <v>2</v>
      </c>
      <c r="K3" s="1">
        <f t="shared" ref="K3" si="34">K4/L4</f>
        <v>5.5</v>
      </c>
      <c r="L3" s="1" t="s">
        <v>2</v>
      </c>
      <c r="M3" s="1">
        <f t="shared" ref="M3" si="35">M4/N4</f>
        <v>5.9268292682926829</v>
      </c>
      <c r="N3" s="1" t="s">
        <v>2</v>
      </c>
      <c r="O3" s="1">
        <f t="shared" ref="O3" si="36">O4/P4</f>
        <v>6</v>
      </c>
      <c r="P3" s="1" t="s">
        <v>2</v>
      </c>
      <c r="Q3" s="1" t="e">
        <f t="shared" ref="Q3" si="37">Q4/R4</f>
        <v>#DIV/0!</v>
      </c>
      <c r="R3" s="1" t="s">
        <v>2</v>
      </c>
      <c r="S3" s="1" t="e">
        <f t="shared" ref="S3" si="38">S4/T4</f>
        <v>#DIV/0!</v>
      </c>
      <c r="T3" s="1" t="s">
        <v>2</v>
      </c>
      <c r="U3" s="1">
        <f t="shared" ref="U3" si="39">U4/V4</f>
        <v>5.8181818181818183</v>
      </c>
      <c r="V3" s="1" t="s">
        <v>2</v>
      </c>
      <c r="W3" s="1">
        <f t="shared" ref="W3" si="40">W4/X4</f>
        <v>6.1111111111111107</v>
      </c>
      <c r="X3" s="1" t="s">
        <v>2</v>
      </c>
      <c r="Y3" s="1">
        <f t="shared" ref="Y3" si="41">Y4/Z4</f>
        <v>4.8125</v>
      </c>
      <c r="Z3" s="1" t="s">
        <v>2</v>
      </c>
      <c r="AA3" s="1">
        <f t="shared" ref="AA3" si="42">AA4/AB4</f>
        <v>4.2380952380952381</v>
      </c>
      <c r="AB3" s="1" t="s">
        <v>2</v>
      </c>
      <c r="AC3" s="1" t="e">
        <f t="shared" ref="AC3" si="43">AC4/AD4</f>
        <v>#DIV/0!</v>
      </c>
      <c r="AD3" s="1" t="s">
        <v>2</v>
      </c>
      <c r="AE3" s="1" t="e">
        <f t="shared" ref="AE3" si="44">AE4/AF4</f>
        <v>#DIV/0!</v>
      </c>
      <c r="AF3" s="1" t="s">
        <v>2</v>
      </c>
      <c r="AG3" s="1" t="e">
        <f t="shared" ref="AG3" si="45">AG4/AH4</f>
        <v>#DIV/0!</v>
      </c>
      <c r="AH3" s="1" t="s">
        <v>2</v>
      </c>
      <c r="AI3" s="1" t="e">
        <f t="shared" ref="AI3" si="46">AI4/AJ4</f>
        <v>#DIV/0!</v>
      </c>
      <c r="AJ3" s="1" t="s">
        <v>2</v>
      </c>
      <c r="AK3" s="1" t="e">
        <f t="shared" ref="AK3" si="47">AK4/AL4</f>
        <v>#DIV/0!</v>
      </c>
      <c r="AL3" s="1" t="s">
        <v>2</v>
      </c>
      <c r="AM3" s="1" t="e">
        <f t="shared" ref="AM3" si="48">AM4/AN4</f>
        <v>#DIV/0!</v>
      </c>
      <c r="AN3" s="1" t="s">
        <v>2</v>
      </c>
      <c r="AO3" s="1" t="e">
        <f t="shared" ref="AO3" si="49">AO4/AP4</f>
        <v>#DIV/0!</v>
      </c>
      <c r="AP3" s="1" t="s">
        <v>2</v>
      </c>
      <c r="AQ3" s="1" t="e">
        <f t="shared" ref="AQ3" si="50">AQ4/AR4</f>
        <v>#DIV/0!</v>
      </c>
      <c r="AR3" s="1" t="s">
        <v>2</v>
      </c>
      <c r="AS3" s="1" t="e">
        <f t="shared" ref="AS3" si="51">AS4/AT4</f>
        <v>#DIV/0!</v>
      </c>
      <c r="AT3" s="1" t="s">
        <v>2</v>
      </c>
      <c r="AU3" s="1" t="e">
        <f t="shared" ref="AU3" si="52">AU4/AV4</f>
        <v>#DIV/0!</v>
      </c>
      <c r="AV3" s="1" t="s">
        <v>2</v>
      </c>
      <c r="AW3" s="1" t="e">
        <f t="shared" ref="AW3" si="53">AW4/AX4</f>
        <v>#DIV/0!</v>
      </c>
      <c r="AX3" s="1" t="s">
        <v>2</v>
      </c>
      <c r="AY3" s="1" t="e">
        <f t="shared" ref="AY3" si="54">AY4/AZ4</f>
        <v>#DIV/0!</v>
      </c>
      <c r="AZ3" s="1" t="s">
        <v>2</v>
      </c>
      <c r="BA3" s="1" t="e">
        <f t="shared" ref="BA3" si="55">BA4/BB4</f>
        <v>#DIV/0!</v>
      </c>
      <c r="BB3" s="1" t="s">
        <v>2</v>
      </c>
      <c r="BC3" s="1" t="e">
        <f t="shared" ref="BC3" si="56">BC4/BD4</f>
        <v>#DIV/0!</v>
      </c>
      <c r="BD3" s="1" t="s">
        <v>2</v>
      </c>
      <c r="BE3" s="1" t="e">
        <f t="shared" ref="BE3" si="57">BE4/BF4</f>
        <v>#DIV/0!</v>
      </c>
      <c r="BF3" s="1" t="s">
        <v>2</v>
      </c>
      <c r="BI3" s="1" t="s">
        <v>49</v>
      </c>
      <c r="BK3" s="1" t="s">
        <v>28</v>
      </c>
    </row>
    <row r="4" spans="1:63" x14ac:dyDescent="0.3">
      <c r="B4" s="1" t="s">
        <v>3</v>
      </c>
      <c r="C4" s="1">
        <f>SUM(C140:C151)</f>
        <v>620</v>
      </c>
      <c r="D4" s="1">
        <f>SUM(D140:D151)</f>
        <v>135</v>
      </c>
      <c r="E4" s="1">
        <f t="shared" ref="E4:J4" si="58">SUM(E140:E151)</f>
        <v>274</v>
      </c>
      <c r="F4" s="1">
        <f t="shared" si="58"/>
        <v>82</v>
      </c>
      <c r="G4" s="1">
        <f t="shared" si="58"/>
        <v>981</v>
      </c>
      <c r="H4" s="1">
        <f t="shared" si="58"/>
        <v>135</v>
      </c>
      <c r="I4" s="1">
        <f t="shared" si="58"/>
        <v>498</v>
      </c>
      <c r="J4" s="1">
        <f t="shared" si="58"/>
        <v>64</v>
      </c>
      <c r="K4" s="1">
        <f t="shared" ref="K4:AZ4" si="59">SUM(K140:K151)</f>
        <v>44</v>
      </c>
      <c r="L4" s="1">
        <f t="shared" si="59"/>
        <v>8</v>
      </c>
      <c r="M4" s="1">
        <f t="shared" si="59"/>
        <v>243</v>
      </c>
      <c r="N4" s="1">
        <f t="shared" si="59"/>
        <v>41</v>
      </c>
      <c r="O4" s="1">
        <f t="shared" si="59"/>
        <v>12</v>
      </c>
      <c r="P4" s="1">
        <f t="shared" si="59"/>
        <v>2</v>
      </c>
      <c r="Q4" s="1">
        <f t="shared" si="59"/>
        <v>0</v>
      </c>
      <c r="R4" s="1">
        <f t="shared" si="59"/>
        <v>0</v>
      </c>
      <c r="S4" s="1">
        <f t="shared" si="59"/>
        <v>0</v>
      </c>
      <c r="T4" s="1">
        <f t="shared" si="59"/>
        <v>0</v>
      </c>
      <c r="U4" s="1">
        <f t="shared" si="59"/>
        <v>64</v>
      </c>
      <c r="V4" s="1">
        <f t="shared" si="59"/>
        <v>11</v>
      </c>
      <c r="W4" s="1">
        <f t="shared" si="59"/>
        <v>55</v>
      </c>
      <c r="X4" s="1">
        <f t="shared" si="59"/>
        <v>9</v>
      </c>
      <c r="Y4" s="1">
        <f t="shared" si="59"/>
        <v>154</v>
      </c>
      <c r="Z4" s="1">
        <f t="shared" si="59"/>
        <v>32</v>
      </c>
      <c r="AA4" s="1">
        <f t="shared" si="59"/>
        <v>89</v>
      </c>
      <c r="AB4" s="1">
        <f t="shared" si="59"/>
        <v>21</v>
      </c>
      <c r="AC4" s="1">
        <f t="shared" si="59"/>
        <v>0</v>
      </c>
      <c r="AD4" s="1">
        <f t="shared" si="59"/>
        <v>0</v>
      </c>
      <c r="AE4" s="1">
        <f t="shared" si="59"/>
        <v>0</v>
      </c>
      <c r="AF4" s="1">
        <f t="shared" si="59"/>
        <v>0</v>
      </c>
      <c r="AG4" s="1">
        <f t="shared" si="59"/>
        <v>0</v>
      </c>
      <c r="AH4" s="1">
        <f t="shared" si="59"/>
        <v>0</v>
      </c>
      <c r="AI4" s="1">
        <f t="shared" si="59"/>
        <v>0</v>
      </c>
      <c r="AJ4" s="1">
        <f t="shared" si="59"/>
        <v>0</v>
      </c>
      <c r="AK4" s="1">
        <f t="shared" si="59"/>
        <v>0</v>
      </c>
      <c r="AL4" s="1">
        <f t="shared" si="59"/>
        <v>0</v>
      </c>
      <c r="AM4" s="1">
        <f t="shared" si="59"/>
        <v>0</v>
      </c>
      <c r="AN4" s="1">
        <f t="shared" si="59"/>
        <v>0</v>
      </c>
      <c r="AO4" s="1">
        <f t="shared" si="59"/>
        <v>0</v>
      </c>
      <c r="AP4" s="1">
        <f t="shared" si="59"/>
        <v>0</v>
      </c>
      <c r="AQ4" s="1">
        <f t="shared" si="59"/>
        <v>0</v>
      </c>
      <c r="AR4" s="1">
        <f t="shared" si="59"/>
        <v>0</v>
      </c>
      <c r="AS4" s="1">
        <f t="shared" si="59"/>
        <v>0</v>
      </c>
      <c r="AT4" s="1">
        <f t="shared" si="59"/>
        <v>0</v>
      </c>
      <c r="AU4" s="1">
        <f t="shared" si="59"/>
        <v>0</v>
      </c>
      <c r="AV4" s="1">
        <f t="shared" si="59"/>
        <v>0</v>
      </c>
      <c r="AW4" s="1">
        <f t="shared" si="59"/>
        <v>0</v>
      </c>
      <c r="AX4" s="1">
        <f t="shared" si="59"/>
        <v>0</v>
      </c>
      <c r="AY4" s="1">
        <f t="shared" si="59"/>
        <v>0</v>
      </c>
      <c r="AZ4" s="1">
        <f t="shared" si="59"/>
        <v>0</v>
      </c>
      <c r="BA4" s="1">
        <f t="shared" ref="BA4:BD4" si="60">SUM(BA140:BA151)</f>
        <v>0</v>
      </c>
      <c r="BB4" s="1">
        <f t="shared" si="60"/>
        <v>0</v>
      </c>
      <c r="BC4" s="1">
        <f t="shared" si="60"/>
        <v>0</v>
      </c>
      <c r="BD4" s="1">
        <f t="shared" si="60"/>
        <v>0</v>
      </c>
      <c r="BE4" s="1">
        <f t="shared" ref="BE4:BF4" si="61">SUM(BE140:BE151)</f>
        <v>0</v>
      </c>
      <c r="BF4" s="1">
        <f t="shared" si="61"/>
        <v>0</v>
      </c>
      <c r="BJ4" s="1" t="b">
        <f>NOT(OR("/",AVERAGE($C$1:$AL$1)&gt;AC$1,SMALL($C$1:$AL$1,1)=AC$1,SMALL($C$1:$AL$1,2)=AC$1,SMALL($C$1:$AL$1,3)=AC$1,LARGE($C$1:$AL$1,1)=AC$1,LARGE($C$1:$AL$1,2)=AC$1,LARGE($C$1:$AL$1,3)=AC$1))</f>
        <v>0</v>
      </c>
      <c r="BK4" s="1" t="e">
        <f>$C$10:$C$151,$E$10:$E$151,$G$10:$G$151,$I$10:$I$151,$K$10:$K$151,$M$10:$M$151,$O$10:$O$151,$Q$10:$Q$151,$S$10:$S$151,$U$10:$U$151,$W$10:$W$151,$Y$10:$Y$151,$AA$10:$AA$151,$AC$10:$AC$151,$AE$10:$AE$151,$AG$10:$AG$151,$AI$10:$AI$151,$AK$10:$AK$151,$AM$10:$AM$151,$AO$10:$AO$151,$AQ$10:$AQ$151,$AS$10:$AS$151,$AU$10:$AU$151,$AW$10:$AW$151,$AY$10:$AY$151,$BA$10:$BA$151,$BC$10:$BC$151,$BE$10:$BE$151</f>
        <v>#VALUE!</v>
      </c>
    </row>
    <row r="5" spans="1:63" x14ac:dyDescent="0.3">
      <c r="A5" s="1" t="s">
        <v>5</v>
      </c>
      <c r="B5" s="1" t="s">
        <v>1</v>
      </c>
      <c r="C5" s="1">
        <f>C6/D6</f>
        <v>4.8756756756756756</v>
      </c>
      <c r="D5" s="1" t="s">
        <v>2</v>
      </c>
      <c r="E5" s="1">
        <f t="shared" ref="E5" si="62">E6/F6</f>
        <v>6.131455399061033</v>
      </c>
      <c r="F5" s="1" t="s">
        <v>2</v>
      </c>
      <c r="G5" s="1">
        <f t="shared" ref="G5" si="63">G6/H6</f>
        <v>6.8512820512820509</v>
      </c>
      <c r="H5" s="1" t="s">
        <v>2</v>
      </c>
      <c r="I5" s="1">
        <f t="shared" ref="I5" si="64">I6/J6</f>
        <v>6.5287356321839081</v>
      </c>
      <c r="J5" s="1" t="s">
        <v>2</v>
      </c>
      <c r="K5" s="1">
        <f t="shared" ref="K5" si="65">K6/L6</f>
        <v>6.6756756756756754</v>
      </c>
      <c r="L5" s="1" t="s">
        <v>2</v>
      </c>
      <c r="M5" s="1">
        <f t="shared" ref="M5" si="66">M6/N6</f>
        <v>3.8979591836734695</v>
      </c>
      <c r="N5" s="1" t="s">
        <v>2</v>
      </c>
      <c r="O5" s="1">
        <f t="shared" ref="O5" si="67">O6/P6</f>
        <v>5.85</v>
      </c>
      <c r="P5" s="1" t="s">
        <v>2</v>
      </c>
      <c r="Q5" s="1">
        <f t="shared" ref="Q5" si="68">Q6/R6</f>
        <v>5.8133333333333335</v>
      </c>
      <c r="R5" s="1" t="s">
        <v>2</v>
      </c>
      <c r="S5" s="1">
        <f t="shared" ref="S5" si="69">S6/T6</f>
        <v>7.1037735849056602</v>
      </c>
      <c r="T5" s="1" t="s">
        <v>2</v>
      </c>
      <c r="U5" s="1">
        <f t="shared" ref="U5" si="70">U6/V6</f>
        <v>2.096774193548387</v>
      </c>
      <c r="V5" s="1" t="s">
        <v>2</v>
      </c>
      <c r="W5" s="1">
        <f t="shared" ref="W5" si="71">W6/X6</f>
        <v>1.8214285714285714</v>
      </c>
      <c r="X5" s="1" t="s">
        <v>2</v>
      </c>
      <c r="Y5" s="1" t="e">
        <f t="shared" ref="Y5" si="72">Y6/Z6</f>
        <v>#DIV/0!</v>
      </c>
      <c r="Z5" s="1" t="s">
        <v>2</v>
      </c>
      <c r="AA5" s="1">
        <f t="shared" ref="AA5" si="73">AA6/AB6</f>
        <v>2.0249999999999999</v>
      </c>
      <c r="AB5" s="1" t="s">
        <v>2</v>
      </c>
      <c r="AC5" s="1">
        <f t="shared" ref="AC5" si="74">AC6/AD6</f>
        <v>1.6</v>
      </c>
      <c r="AD5" s="1" t="s">
        <v>2</v>
      </c>
      <c r="AE5" s="1">
        <f t="shared" ref="AE5" si="75">AE6/AF6</f>
        <v>9</v>
      </c>
      <c r="AF5" s="1" t="s">
        <v>2</v>
      </c>
      <c r="AG5" s="1">
        <f t="shared" ref="AG5" si="76">AG6/AH6</f>
        <v>6.068965517241379</v>
      </c>
      <c r="AH5" s="1" t="s">
        <v>2</v>
      </c>
      <c r="AI5" s="1" t="e">
        <f t="shared" ref="AI5" si="77">AI6/AJ6</f>
        <v>#DIV/0!</v>
      </c>
      <c r="AJ5" s="1" t="s">
        <v>2</v>
      </c>
      <c r="AK5" s="1">
        <f t="shared" ref="AK5" si="78">AK6/AL6</f>
        <v>7.117647058823529</v>
      </c>
      <c r="AL5" s="1" t="s">
        <v>2</v>
      </c>
      <c r="AM5" s="1" t="e">
        <f t="shared" ref="AM5" si="79">AM6/AN6</f>
        <v>#DIV/0!</v>
      </c>
      <c r="AN5" s="1" t="s">
        <v>2</v>
      </c>
      <c r="AO5" s="1" t="e">
        <f t="shared" ref="AO5" si="80">AO6/AP6</f>
        <v>#DIV/0!</v>
      </c>
      <c r="AP5" s="1" t="s">
        <v>2</v>
      </c>
      <c r="AQ5" s="1">
        <f t="shared" ref="AQ5" si="81">AQ6/AR6</f>
        <v>3.75</v>
      </c>
      <c r="AR5" s="1" t="s">
        <v>2</v>
      </c>
      <c r="AS5" s="1" t="e">
        <f t="shared" ref="AS5" si="82">AS6/AT6</f>
        <v>#DIV/0!</v>
      </c>
      <c r="AT5" s="1" t="s">
        <v>2</v>
      </c>
      <c r="AU5" s="1" t="e">
        <f t="shared" ref="AU5" si="83">AU6/AV6</f>
        <v>#DIV/0!</v>
      </c>
      <c r="AV5" s="1" t="s">
        <v>2</v>
      </c>
      <c r="AW5" s="1" t="e">
        <f t="shared" ref="AW5" si="84">AW6/AX6</f>
        <v>#DIV/0!</v>
      </c>
      <c r="AX5" s="1" t="s">
        <v>2</v>
      </c>
      <c r="AY5" s="1">
        <f t="shared" ref="AY5" si="85">AY6/AZ6</f>
        <v>2.75</v>
      </c>
      <c r="AZ5" s="1" t="s">
        <v>2</v>
      </c>
      <c r="BA5" s="1" t="e">
        <f t="shared" ref="BA5" si="86">BA6/BB6</f>
        <v>#DIV/0!</v>
      </c>
      <c r="BB5" s="1" t="s">
        <v>2</v>
      </c>
      <c r="BC5" s="1" t="e">
        <f t="shared" ref="BC5" si="87">BC6/BD6</f>
        <v>#DIV/0!</v>
      </c>
      <c r="BD5" s="1" t="s">
        <v>2</v>
      </c>
      <c r="BE5" s="1" t="e">
        <f t="shared" ref="BE5" si="88">BE6/BF6</f>
        <v>#DIV/0!</v>
      </c>
      <c r="BF5" s="1" t="s">
        <v>2</v>
      </c>
      <c r="BK5" s="1" t="e">
        <f>$D$10:$D$151,$F$10:$F$151,$H$10:$H$151,$J$10:$J$151,$L$10:$L$151,$N$10:$N$151,$P$10:$P$151,$R$10:$R$151,$T$10:$T$151,$V$10:$V$151,$X$10:$X$151,$Z$10:$Z$151,$AB$10:$AB$151,$AD$10:$AD$151,$AF$10:$AF$151,$AH$10:$AH$151,$AJ$10:$AJ$151,$AL$10:$AL$151,$AN$10:$AN$151,$AP$10:$AP$151,$AR$10:$AR$151,$AT$10:$AT$151,$AV$10:$AV$151,$AX$10:$AX$151,$AZ$10:$AZ$151,$BB$10:$BB$151,$BD$10:$BD$151,$BF$10:$BF$151</f>
        <v>#VALUE!</v>
      </c>
    </row>
    <row r="6" spans="1:63" x14ac:dyDescent="0.3">
      <c r="B6" s="1" t="s">
        <v>3</v>
      </c>
      <c r="C6" s="1">
        <f>SUM(C96:C138)</f>
        <v>1804</v>
      </c>
      <c r="D6" s="1">
        <f>SUM(D96:D138)</f>
        <v>370</v>
      </c>
      <c r="E6" s="1">
        <f t="shared" ref="E6:J6" si="89">SUM(E96:E138)</f>
        <v>1306</v>
      </c>
      <c r="F6" s="1">
        <f t="shared" si="89"/>
        <v>213</v>
      </c>
      <c r="G6" s="1">
        <f t="shared" si="89"/>
        <v>2672</v>
      </c>
      <c r="H6" s="1">
        <f t="shared" si="89"/>
        <v>390</v>
      </c>
      <c r="I6" s="1">
        <f t="shared" si="89"/>
        <v>568</v>
      </c>
      <c r="J6" s="1">
        <f t="shared" si="89"/>
        <v>87</v>
      </c>
      <c r="K6" s="1">
        <f t="shared" ref="K6:AZ6" si="90">SUM(K96:K138)</f>
        <v>494</v>
      </c>
      <c r="L6" s="1">
        <f t="shared" si="90"/>
        <v>74</v>
      </c>
      <c r="M6" s="1">
        <f t="shared" si="90"/>
        <v>573</v>
      </c>
      <c r="N6" s="1">
        <f t="shared" si="90"/>
        <v>147</v>
      </c>
      <c r="O6" s="1">
        <f t="shared" si="90"/>
        <v>117</v>
      </c>
      <c r="P6" s="1">
        <f t="shared" si="90"/>
        <v>20</v>
      </c>
      <c r="Q6" s="1">
        <f t="shared" si="90"/>
        <v>436</v>
      </c>
      <c r="R6" s="1">
        <f t="shared" si="90"/>
        <v>75</v>
      </c>
      <c r="S6" s="1">
        <f t="shared" si="90"/>
        <v>753</v>
      </c>
      <c r="T6" s="1">
        <f t="shared" si="90"/>
        <v>106</v>
      </c>
      <c r="U6" s="1">
        <f t="shared" si="90"/>
        <v>65</v>
      </c>
      <c r="V6" s="1">
        <f t="shared" si="90"/>
        <v>31</v>
      </c>
      <c r="W6" s="1">
        <f t="shared" si="90"/>
        <v>51</v>
      </c>
      <c r="X6" s="1">
        <f t="shared" si="90"/>
        <v>28</v>
      </c>
      <c r="Y6" s="1">
        <f t="shared" si="90"/>
        <v>0</v>
      </c>
      <c r="Z6" s="1">
        <f t="shared" si="90"/>
        <v>0</v>
      </c>
      <c r="AA6" s="1">
        <f t="shared" si="90"/>
        <v>81</v>
      </c>
      <c r="AB6" s="1">
        <f t="shared" si="90"/>
        <v>40</v>
      </c>
      <c r="AC6" s="1">
        <f t="shared" si="90"/>
        <v>16</v>
      </c>
      <c r="AD6" s="1">
        <f t="shared" si="90"/>
        <v>10</v>
      </c>
      <c r="AE6" s="1">
        <f t="shared" si="90"/>
        <v>27</v>
      </c>
      <c r="AF6" s="1">
        <f t="shared" si="90"/>
        <v>3</v>
      </c>
      <c r="AG6" s="1">
        <f t="shared" si="90"/>
        <v>176</v>
      </c>
      <c r="AH6" s="1">
        <f t="shared" si="90"/>
        <v>29</v>
      </c>
      <c r="AI6" s="1">
        <f t="shared" si="90"/>
        <v>0</v>
      </c>
      <c r="AJ6" s="1">
        <f t="shared" si="90"/>
        <v>0</v>
      </c>
      <c r="AK6" s="1">
        <f t="shared" si="90"/>
        <v>121</v>
      </c>
      <c r="AL6" s="1">
        <f t="shared" si="90"/>
        <v>17</v>
      </c>
      <c r="AM6" s="1">
        <f t="shared" si="90"/>
        <v>0</v>
      </c>
      <c r="AN6" s="1">
        <f t="shared" si="90"/>
        <v>0</v>
      </c>
      <c r="AO6" s="1">
        <f t="shared" si="90"/>
        <v>0</v>
      </c>
      <c r="AP6" s="1">
        <f t="shared" si="90"/>
        <v>0</v>
      </c>
      <c r="AQ6" s="1">
        <f t="shared" si="90"/>
        <v>60</v>
      </c>
      <c r="AR6" s="1">
        <f t="shared" si="90"/>
        <v>16</v>
      </c>
      <c r="AS6" s="1">
        <f t="shared" si="90"/>
        <v>0</v>
      </c>
      <c r="AT6" s="1">
        <f t="shared" si="90"/>
        <v>0</v>
      </c>
      <c r="AU6" s="1">
        <f t="shared" si="90"/>
        <v>0</v>
      </c>
      <c r="AV6" s="1">
        <f t="shared" si="90"/>
        <v>0</v>
      </c>
      <c r="AW6" s="1">
        <f t="shared" si="90"/>
        <v>0</v>
      </c>
      <c r="AX6" s="1">
        <f t="shared" si="90"/>
        <v>0</v>
      </c>
      <c r="AY6" s="1">
        <f t="shared" si="90"/>
        <v>22</v>
      </c>
      <c r="AZ6" s="1">
        <f t="shared" si="90"/>
        <v>8</v>
      </c>
      <c r="BA6" s="1">
        <f t="shared" ref="BA6:BD6" si="91">SUM(BA96:BA138)</f>
        <v>0</v>
      </c>
      <c r="BB6" s="1">
        <f t="shared" si="91"/>
        <v>0</v>
      </c>
      <c r="BC6" s="1">
        <f t="shared" si="91"/>
        <v>0</v>
      </c>
      <c r="BD6" s="1">
        <f t="shared" si="91"/>
        <v>0</v>
      </c>
      <c r="BE6" s="1">
        <f t="shared" ref="BE6:BF6" si="92">SUM(BE96:BE138)</f>
        <v>0</v>
      </c>
      <c r="BF6" s="1">
        <f t="shared" si="92"/>
        <v>0</v>
      </c>
    </row>
    <row r="7" spans="1:63" x14ac:dyDescent="0.3">
      <c r="A7" s="15" t="s">
        <v>27</v>
      </c>
      <c r="B7" s="15" t="s">
        <v>1</v>
      </c>
      <c r="C7" s="15">
        <f>C8/D8</f>
        <v>6.2131661442006267</v>
      </c>
      <c r="D7" s="15" t="s">
        <v>2</v>
      </c>
      <c r="E7" s="15">
        <f t="shared" ref="E7" si="93">E8/F8</f>
        <v>6.7380952380952381</v>
      </c>
      <c r="F7" s="15" t="s">
        <v>2</v>
      </c>
      <c r="G7" s="15">
        <f t="shared" ref="G7" si="94">G8/H8</f>
        <v>7.5887755102040817</v>
      </c>
      <c r="H7" s="15" t="s">
        <v>2</v>
      </c>
      <c r="I7" s="15">
        <f t="shared" ref="I7" si="95">I8/J8</f>
        <v>3.0166666666666666</v>
      </c>
      <c r="J7" s="15" t="s">
        <v>2</v>
      </c>
      <c r="K7" s="15">
        <f t="shared" ref="K7" si="96">K8/L8</f>
        <v>4.8636363636363633</v>
      </c>
      <c r="L7" s="15" t="s">
        <v>2</v>
      </c>
      <c r="M7" s="15">
        <f t="shared" ref="M7" si="97">M8/N8</f>
        <v>6.1827160493827158</v>
      </c>
      <c r="N7" s="15" t="s">
        <v>2</v>
      </c>
      <c r="O7" s="15">
        <f t="shared" ref="O7" si="98">O8/P8</f>
        <v>8.1063829787234045</v>
      </c>
      <c r="P7" s="15" t="s">
        <v>2</v>
      </c>
      <c r="Q7" s="15">
        <f t="shared" ref="Q7" si="99">Q8/R8</f>
        <v>6.4210526315789478</v>
      </c>
      <c r="R7" s="15" t="s">
        <v>2</v>
      </c>
      <c r="S7" s="15">
        <f t="shared" ref="S7" si="100">S8/T8</f>
        <v>4.8965517241379306</v>
      </c>
      <c r="T7" s="15" t="s">
        <v>2</v>
      </c>
      <c r="U7" s="15">
        <f t="shared" ref="U7" si="101">U8/V8</f>
        <v>2.9926470588235294</v>
      </c>
      <c r="V7" s="15" t="s">
        <v>2</v>
      </c>
      <c r="W7" s="15">
        <f t="shared" ref="W7" si="102">W8/X8</f>
        <v>1.1000000000000001</v>
      </c>
      <c r="X7" s="15" t="s">
        <v>2</v>
      </c>
      <c r="Y7" s="15" t="e">
        <f t="shared" ref="Y7" si="103">Y8/Z8</f>
        <v>#DIV/0!</v>
      </c>
      <c r="Z7" s="15" t="s">
        <v>2</v>
      </c>
      <c r="AA7" s="15">
        <f t="shared" ref="AA7" si="104">AA8/AB8</f>
        <v>4.8129251700680271</v>
      </c>
      <c r="AB7" s="15" t="s">
        <v>2</v>
      </c>
      <c r="AC7" s="15">
        <f t="shared" ref="AC7" si="105">AC8/AD8</f>
        <v>4.9844961240310077</v>
      </c>
      <c r="AD7" s="15" t="s">
        <v>2</v>
      </c>
      <c r="AE7" s="15">
        <f t="shared" ref="AE7" si="106">AE8/AF8</f>
        <v>0</v>
      </c>
      <c r="AF7" s="15" t="s">
        <v>2</v>
      </c>
      <c r="AG7" s="15" t="e">
        <f t="shared" ref="AG7" si="107">AG8/AH8</f>
        <v>#DIV/0!</v>
      </c>
      <c r="AH7" s="15" t="s">
        <v>2</v>
      </c>
      <c r="AI7" s="15">
        <f t="shared" ref="AI7" si="108">AI8/AJ8</f>
        <v>2.9607843137254903</v>
      </c>
      <c r="AJ7" s="15" t="s">
        <v>2</v>
      </c>
      <c r="AK7" s="15" t="e">
        <f t="shared" ref="AK7" si="109">AK8/AL8</f>
        <v>#DIV/0!</v>
      </c>
      <c r="AL7" s="15" t="s">
        <v>2</v>
      </c>
      <c r="AM7" s="15">
        <f t="shared" ref="AM7" si="110">AM8/AN8</f>
        <v>2.9333333333333331</v>
      </c>
      <c r="AN7" s="15" t="s">
        <v>2</v>
      </c>
      <c r="AO7" s="15">
        <f t="shared" ref="AO7" si="111">AO8/AP8</f>
        <v>-8.3333333333333329E-2</v>
      </c>
      <c r="AP7" s="15" t="s">
        <v>2</v>
      </c>
      <c r="AQ7" s="15">
        <f t="shared" ref="AQ7" si="112">AQ8/AR8</f>
        <v>5.4117647058823533</v>
      </c>
      <c r="AR7" s="15" t="s">
        <v>2</v>
      </c>
      <c r="AS7" s="15">
        <f t="shared" ref="AS7" si="113">AS8/AT8</f>
        <v>0.72727272727272729</v>
      </c>
      <c r="AT7" s="15" t="s">
        <v>2</v>
      </c>
      <c r="AU7" s="15">
        <f t="shared" ref="AU7" si="114">AU8/AV8</f>
        <v>8.5</v>
      </c>
      <c r="AV7" s="15" t="s">
        <v>2</v>
      </c>
      <c r="AW7" s="15">
        <f t="shared" ref="AW7" si="115">AW8/AX8</f>
        <v>2.8</v>
      </c>
      <c r="AX7" s="15" t="s">
        <v>2</v>
      </c>
      <c r="AY7" s="15">
        <f t="shared" ref="AY7" si="116">AY8/AZ8</f>
        <v>4.2</v>
      </c>
      <c r="AZ7" s="15" t="s">
        <v>2</v>
      </c>
      <c r="BA7" s="15">
        <f t="shared" ref="BA7" si="117">BA8/BB8</f>
        <v>17</v>
      </c>
      <c r="BB7" s="15" t="s">
        <v>2</v>
      </c>
      <c r="BC7" s="15">
        <f t="shared" ref="BC7" si="118">BC8/BD8</f>
        <v>3.7647058823529411</v>
      </c>
      <c r="BD7" s="15" t="s">
        <v>2</v>
      </c>
      <c r="BE7" s="15">
        <f t="shared" ref="BE7" si="119">BE8/BF8</f>
        <v>5.5526315789473681</v>
      </c>
      <c r="BF7" s="15" t="s">
        <v>2</v>
      </c>
    </row>
    <row r="8" spans="1:63" x14ac:dyDescent="0.3">
      <c r="A8" s="15"/>
      <c r="B8" s="15" t="s">
        <v>3</v>
      </c>
      <c r="C8" s="15">
        <f>SUM(C10:C94)</f>
        <v>1982</v>
      </c>
      <c r="D8" s="15">
        <f>SUM(D10:D94)</f>
        <v>319</v>
      </c>
      <c r="E8" s="15">
        <f t="shared" ref="E8:J8" si="120">SUM(E10:E94)</f>
        <v>849</v>
      </c>
      <c r="F8" s="15">
        <f t="shared" si="120"/>
        <v>126</v>
      </c>
      <c r="G8" s="15">
        <f t="shared" si="120"/>
        <v>3718.5</v>
      </c>
      <c r="H8" s="15">
        <f t="shared" si="120"/>
        <v>490</v>
      </c>
      <c r="I8" s="15">
        <f t="shared" si="120"/>
        <v>181</v>
      </c>
      <c r="J8" s="15">
        <f t="shared" si="120"/>
        <v>60</v>
      </c>
      <c r="K8" s="15">
        <f t="shared" ref="K8:AZ8" si="121">SUM(K10:K94)</f>
        <v>107</v>
      </c>
      <c r="L8" s="15">
        <f t="shared" si="121"/>
        <v>22</v>
      </c>
      <c r="M8" s="15">
        <f t="shared" si="121"/>
        <v>2504</v>
      </c>
      <c r="N8" s="15">
        <f t="shared" si="121"/>
        <v>405</v>
      </c>
      <c r="O8" s="15">
        <f t="shared" si="121"/>
        <v>381</v>
      </c>
      <c r="P8" s="15">
        <f t="shared" si="121"/>
        <v>47</v>
      </c>
      <c r="Q8" s="15">
        <f t="shared" si="121"/>
        <v>1098</v>
      </c>
      <c r="R8" s="15">
        <f t="shared" si="121"/>
        <v>171</v>
      </c>
      <c r="S8" s="15">
        <f t="shared" si="121"/>
        <v>426</v>
      </c>
      <c r="T8" s="15">
        <f t="shared" si="121"/>
        <v>87</v>
      </c>
      <c r="U8" s="15">
        <f t="shared" si="121"/>
        <v>407</v>
      </c>
      <c r="V8" s="15">
        <f t="shared" si="121"/>
        <v>136</v>
      </c>
      <c r="W8" s="15">
        <f t="shared" si="121"/>
        <v>33</v>
      </c>
      <c r="X8" s="15">
        <f t="shared" si="121"/>
        <v>30</v>
      </c>
      <c r="Y8" s="15">
        <f t="shared" si="121"/>
        <v>0</v>
      </c>
      <c r="Z8" s="15">
        <f t="shared" si="121"/>
        <v>0</v>
      </c>
      <c r="AA8" s="15">
        <f t="shared" si="121"/>
        <v>707.5</v>
      </c>
      <c r="AB8" s="15">
        <f t="shared" si="121"/>
        <v>147</v>
      </c>
      <c r="AC8" s="15">
        <f t="shared" si="121"/>
        <v>643</v>
      </c>
      <c r="AD8" s="15">
        <f t="shared" si="121"/>
        <v>129</v>
      </c>
      <c r="AE8" s="15">
        <f t="shared" si="121"/>
        <v>0</v>
      </c>
      <c r="AF8" s="15">
        <f t="shared" si="121"/>
        <v>2</v>
      </c>
      <c r="AG8" s="15">
        <f t="shared" si="121"/>
        <v>0</v>
      </c>
      <c r="AH8" s="15">
        <f t="shared" si="121"/>
        <v>0</v>
      </c>
      <c r="AI8" s="15">
        <f t="shared" si="121"/>
        <v>151</v>
      </c>
      <c r="AJ8" s="15">
        <f t="shared" si="121"/>
        <v>51</v>
      </c>
      <c r="AK8" s="15">
        <f t="shared" si="121"/>
        <v>0</v>
      </c>
      <c r="AL8" s="15">
        <f t="shared" si="121"/>
        <v>0</v>
      </c>
      <c r="AM8" s="15">
        <f t="shared" si="121"/>
        <v>176</v>
      </c>
      <c r="AN8" s="15">
        <f t="shared" si="121"/>
        <v>60</v>
      </c>
      <c r="AO8" s="15">
        <f t="shared" si="121"/>
        <v>-1</v>
      </c>
      <c r="AP8" s="15">
        <f t="shared" si="121"/>
        <v>12</v>
      </c>
      <c r="AQ8" s="15">
        <f t="shared" si="121"/>
        <v>276</v>
      </c>
      <c r="AR8" s="15">
        <f t="shared" si="121"/>
        <v>51</v>
      </c>
      <c r="AS8" s="15">
        <f t="shared" si="121"/>
        <v>8</v>
      </c>
      <c r="AT8" s="15">
        <f t="shared" si="121"/>
        <v>11</v>
      </c>
      <c r="AU8" s="15">
        <f t="shared" si="121"/>
        <v>34</v>
      </c>
      <c r="AV8" s="15">
        <f t="shared" si="121"/>
        <v>4</v>
      </c>
      <c r="AW8" s="15">
        <f t="shared" si="121"/>
        <v>14</v>
      </c>
      <c r="AX8" s="15">
        <f t="shared" si="121"/>
        <v>5</v>
      </c>
      <c r="AY8" s="15">
        <f t="shared" si="121"/>
        <v>21</v>
      </c>
      <c r="AZ8" s="15">
        <f t="shared" si="121"/>
        <v>5</v>
      </c>
      <c r="BA8" s="15">
        <f t="shared" ref="BA8:BD8" si="122">SUM(BA10:BA94)</f>
        <v>34</v>
      </c>
      <c r="BB8" s="15">
        <f t="shared" si="122"/>
        <v>2</v>
      </c>
      <c r="BC8" s="15">
        <f t="shared" si="122"/>
        <v>64</v>
      </c>
      <c r="BD8" s="15">
        <f t="shared" si="122"/>
        <v>17</v>
      </c>
      <c r="BE8" s="15">
        <f t="shared" ref="BE8:BF8" si="123">SUM(BE10:BE94)</f>
        <v>422</v>
      </c>
      <c r="BF8" s="15">
        <f t="shared" si="123"/>
        <v>76</v>
      </c>
    </row>
    <row r="9" spans="1:63" x14ac:dyDescent="0.3">
      <c r="C9" s="27" t="s">
        <v>70</v>
      </c>
      <c r="D9" s="27"/>
      <c r="E9" s="27" t="s">
        <v>71</v>
      </c>
      <c r="F9" s="27"/>
      <c r="G9" s="27" t="s">
        <v>72</v>
      </c>
      <c r="H9" s="27"/>
      <c r="I9" s="27" t="s">
        <v>73</v>
      </c>
      <c r="J9" s="27"/>
      <c r="K9" s="27" t="s">
        <v>74</v>
      </c>
      <c r="L9" s="27"/>
      <c r="M9" s="27" t="s">
        <v>75</v>
      </c>
      <c r="N9" s="27"/>
      <c r="O9" s="27" t="s">
        <v>76</v>
      </c>
      <c r="P9" s="27"/>
      <c r="Q9" s="27" t="s">
        <v>77</v>
      </c>
      <c r="R9" s="27"/>
      <c r="S9" s="27" t="s">
        <v>78</v>
      </c>
      <c r="T9" s="27"/>
      <c r="U9" s="27" t="s">
        <v>79</v>
      </c>
      <c r="V9" s="27"/>
      <c r="W9" s="27" t="s">
        <v>80</v>
      </c>
      <c r="X9" s="27"/>
      <c r="Y9" s="27" t="s">
        <v>81</v>
      </c>
      <c r="Z9" s="27"/>
      <c r="AA9" s="27" t="s">
        <v>82</v>
      </c>
      <c r="AB9" s="27"/>
      <c r="AC9" s="27" t="s">
        <v>6</v>
      </c>
      <c r="AD9" s="27"/>
      <c r="AE9" s="27" t="s">
        <v>83</v>
      </c>
      <c r="AF9" s="27"/>
      <c r="AG9" s="27" t="s">
        <v>84</v>
      </c>
      <c r="AH9" s="27"/>
      <c r="AI9" s="27" t="s">
        <v>85</v>
      </c>
      <c r="AJ9" s="27"/>
      <c r="AK9" s="27" t="s">
        <v>86</v>
      </c>
      <c r="AL9" s="27"/>
      <c r="AM9" s="26" t="s">
        <v>39</v>
      </c>
      <c r="AN9" s="26"/>
      <c r="AO9" s="26" t="s">
        <v>19</v>
      </c>
      <c r="AP9" s="26"/>
      <c r="AQ9" s="26" t="s">
        <v>20</v>
      </c>
      <c r="AR9" s="26"/>
      <c r="AS9" s="26" t="s">
        <v>87</v>
      </c>
      <c r="AT9" s="26"/>
      <c r="AU9" s="26" t="s">
        <v>21</v>
      </c>
      <c r="AV9" s="26"/>
      <c r="AW9" s="26" t="s">
        <v>88</v>
      </c>
      <c r="AX9" s="26"/>
      <c r="AY9" s="26" t="s">
        <v>89</v>
      </c>
      <c r="AZ9" s="26"/>
      <c r="BA9" s="27" t="s">
        <v>90</v>
      </c>
      <c r="BB9" s="27"/>
      <c r="BC9" s="27" t="s">
        <v>33</v>
      </c>
      <c r="BD9" s="27"/>
      <c r="BE9" s="27" t="s">
        <v>34</v>
      </c>
      <c r="BF9" s="27"/>
    </row>
    <row r="10" spans="1:63" x14ac:dyDescent="0.3">
      <c r="B10" s="1">
        <v>140</v>
      </c>
    </row>
    <row r="11" spans="1:63" x14ac:dyDescent="0.3">
      <c r="B11" s="1">
        <v>139</v>
      </c>
    </row>
    <row r="12" spans="1:63" x14ac:dyDescent="0.3">
      <c r="B12" s="1">
        <v>138</v>
      </c>
    </row>
    <row r="13" spans="1:63" x14ac:dyDescent="0.3">
      <c r="B13" s="1">
        <v>137</v>
      </c>
    </row>
    <row r="14" spans="1:63" x14ac:dyDescent="0.3">
      <c r="B14" s="1">
        <v>136</v>
      </c>
    </row>
    <row r="15" spans="1:63" x14ac:dyDescent="0.3">
      <c r="B15" s="1">
        <v>135</v>
      </c>
    </row>
    <row r="16" spans="1:63" x14ac:dyDescent="0.3">
      <c r="B16" s="1">
        <v>134</v>
      </c>
    </row>
    <row r="17" spans="1:58" x14ac:dyDescent="0.3">
      <c r="B17" s="1">
        <v>133</v>
      </c>
    </row>
    <row r="18" spans="1:58" x14ac:dyDescent="0.3">
      <c r="B18" s="1">
        <v>132</v>
      </c>
    </row>
    <row r="19" spans="1:58" x14ac:dyDescent="0.3">
      <c r="B19" s="1">
        <v>131</v>
      </c>
    </row>
    <row r="20" spans="1:58" x14ac:dyDescent="0.3">
      <c r="B20" s="1">
        <v>130</v>
      </c>
      <c r="M20" s="1">
        <v>112</v>
      </c>
    </row>
    <row r="21" spans="1:58" x14ac:dyDescent="0.3">
      <c r="B21" s="1">
        <v>129</v>
      </c>
      <c r="G21" s="1">
        <v>31</v>
      </c>
      <c r="H21" s="1">
        <v>2</v>
      </c>
      <c r="M21" s="1">
        <v>20</v>
      </c>
      <c r="N21" s="1">
        <v>2</v>
      </c>
      <c r="Q21" s="1">
        <v>11</v>
      </c>
      <c r="R21" s="1">
        <v>1</v>
      </c>
      <c r="AA21" s="1">
        <v>0</v>
      </c>
      <c r="AB21" s="1">
        <v>1</v>
      </c>
      <c r="AM21" s="1">
        <v>0</v>
      </c>
      <c r="AN21" s="1">
        <v>2</v>
      </c>
    </row>
    <row r="22" spans="1:58" x14ac:dyDescent="0.3">
      <c r="B22" s="1">
        <v>128</v>
      </c>
      <c r="M22" s="1">
        <v>76</v>
      </c>
      <c r="N22" s="1">
        <v>8</v>
      </c>
      <c r="Q22" s="1">
        <v>50</v>
      </c>
      <c r="R22" s="1">
        <v>8</v>
      </c>
      <c r="AC22" s="1">
        <v>26</v>
      </c>
      <c r="AD22" s="1">
        <v>8</v>
      </c>
      <c r="AM22" s="1">
        <v>32</v>
      </c>
      <c r="AN22" s="1">
        <v>8</v>
      </c>
      <c r="BE22" s="1">
        <v>45</v>
      </c>
      <c r="BF22" s="1">
        <v>8</v>
      </c>
    </row>
    <row r="23" spans="1:58" x14ac:dyDescent="0.3">
      <c r="B23" s="1">
        <v>127</v>
      </c>
      <c r="M23" s="1">
        <v>12</v>
      </c>
      <c r="N23" s="1">
        <v>4</v>
      </c>
      <c r="Q23" s="1">
        <v>60</v>
      </c>
      <c r="R23" s="1">
        <v>4</v>
      </c>
      <c r="AC23" s="1">
        <v>25</v>
      </c>
      <c r="AD23" s="1">
        <v>4</v>
      </c>
      <c r="BE23" s="1">
        <v>-4</v>
      </c>
      <c r="BF23" s="1">
        <v>4</v>
      </c>
    </row>
    <row r="24" spans="1:58" x14ac:dyDescent="0.3">
      <c r="B24" s="1">
        <v>126</v>
      </c>
      <c r="G24" s="1">
        <v>54</v>
      </c>
      <c r="H24" s="1">
        <v>10</v>
      </c>
      <c r="M24" s="1">
        <v>88</v>
      </c>
      <c r="N24" s="1">
        <v>10</v>
      </c>
      <c r="Q24" s="1">
        <v>43</v>
      </c>
      <c r="R24" s="1">
        <v>10</v>
      </c>
      <c r="U24" s="1">
        <v>32</v>
      </c>
      <c r="V24" s="1">
        <v>10</v>
      </c>
    </row>
    <row r="25" spans="1:58" x14ac:dyDescent="0.3">
      <c r="B25" s="1">
        <v>125</v>
      </c>
      <c r="M25" s="1">
        <v>13</v>
      </c>
      <c r="N25" s="1">
        <v>4</v>
      </c>
      <c r="O25" s="1">
        <v>13</v>
      </c>
      <c r="P25" s="1">
        <v>4</v>
      </c>
      <c r="AM25" s="1">
        <v>26</v>
      </c>
      <c r="AN25" s="1">
        <v>4</v>
      </c>
      <c r="AQ25" s="1">
        <v>44</v>
      </c>
      <c r="AR25" s="1">
        <v>4</v>
      </c>
    </row>
    <row r="26" spans="1:58" x14ac:dyDescent="0.3">
      <c r="B26" s="1">
        <v>124</v>
      </c>
      <c r="G26" s="1">
        <v>112</v>
      </c>
      <c r="H26" s="1">
        <v>10</v>
      </c>
      <c r="M26" s="1">
        <v>23</v>
      </c>
      <c r="N26" s="1">
        <v>10</v>
      </c>
      <c r="Q26" s="1">
        <v>103</v>
      </c>
      <c r="R26" s="1">
        <v>10</v>
      </c>
      <c r="AC26" s="1">
        <v>57</v>
      </c>
      <c r="AD26" s="1">
        <v>11</v>
      </c>
      <c r="BE26" s="1">
        <v>36</v>
      </c>
      <c r="BF26" s="1">
        <v>7</v>
      </c>
    </row>
    <row r="27" spans="1:58" x14ac:dyDescent="0.3">
      <c r="A27" s="1" t="s">
        <v>7</v>
      </c>
      <c r="B27" s="1">
        <v>123</v>
      </c>
      <c r="G27" s="1">
        <v>119</v>
      </c>
      <c r="H27" s="1">
        <v>12</v>
      </c>
      <c r="M27" s="1">
        <v>68</v>
      </c>
      <c r="N27" s="1">
        <v>12</v>
      </c>
      <c r="U27" s="1">
        <v>33</v>
      </c>
      <c r="V27" s="1">
        <v>12</v>
      </c>
      <c r="AA27" s="1">
        <v>74</v>
      </c>
      <c r="AB27" s="1">
        <v>12</v>
      </c>
    </row>
    <row r="28" spans="1:58" x14ac:dyDescent="0.3">
      <c r="B28" s="1">
        <v>122</v>
      </c>
      <c r="C28" s="1">
        <v>28</v>
      </c>
      <c r="D28" s="1">
        <v>8</v>
      </c>
      <c r="G28" s="1">
        <v>46</v>
      </c>
      <c r="H28" s="1">
        <v>8</v>
      </c>
      <c r="M28" s="1">
        <v>41</v>
      </c>
      <c r="N28" s="1">
        <v>8</v>
      </c>
      <c r="Q28" s="1">
        <v>36</v>
      </c>
      <c r="R28" s="1">
        <v>8</v>
      </c>
    </row>
    <row r="29" spans="1:58" x14ac:dyDescent="0.3">
      <c r="B29" s="1">
        <v>121</v>
      </c>
      <c r="Q29" s="1">
        <v>59</v>
      </c>
      <c r="R29" s="1">
        <v>5</v>
      </c>
      <c r="AA29" s="1">
        <v>53</v>
      </c>
      <c r="AB29" s="1">
        <v>5</v>
      </c>
      <c r="AC29" s="1">
        <v>24</v>
      </c>
      <c r="AD29" s="1">
        <v>4</v>
      </c>
      <c r="AQ29" s="1">
        <v>51</v>
      </c>
      <c r="AR29" s="1">
        <v>5</v>
      </c>
      <c r="BE29" s="1">
        <v>13</v>
      </c>
      <c r="BF29" s="1">
        <v>5</v>
      </c>
    </row>
    <row r="30" spans="1:58" x14ac:dyDescent="0.3">
      <c r="A30" s="1" t="s">
        <v>7</v>
      </c>
      <c r="B30" s="1">
        <v>120</v>
      </c>
      <c r="C30" s="1">
        <v>98</v>
      </c>
      <c r="D30" s="1">
        <v>16</v>
      </c>
      <c r="G30" s="1">
        <v>120</v>
      </c>
      <c r="H30" s="1">
        <v>16</v>
      </c>
      <c r="M30" s="1">
        <v>156</v>
      </c>
      <c r="N30" s="1">
        <v>16</v>
      </c>
      <c r="O30" s="1">
        <v>98</v>
      </c>
      <c r="P30" s="1">
        <v>16</v>
      </c>
      <c r="AM30" s="1">
        <v>27</v>
      </c>
      <c r="AN30" s="1">
        <v>16</v>
      </c>
    </row>
    <row r="31" spans="1:58" x14ac:dyDescent="0.3">
      <c r="A31" s="1" t="s">
        <v>7</v>
      </c>
      <c r="B31" s="1">
        <v>119</v>
      </c>
      <c r="G31" s="1">
        <v>114</v>
      </c>
      <c r="H31" s="1">
        <v>12</v>
      </c>
      <c r="M31" s="1">
        <v>98</v>
      </c>
      <c r="N31" s="1">
        <v>12</v>
      </c>
      <c r="AA31" s="1">
        <v>46</v>
      </c>
      <c r="AB31" s="1">
        <v>12</v>
      </c>
      <c r="AQ31" s="1">
        <v>64</v>
      </c>
      <c r="AR31" s="1">
        <v>12</v>
      </c>
    </row>
    <row r="32" spans="1:58" x14ac:dyDescent="0.3">
      <c r="A32" s="1" t="s">
        <v>7</v>
      </c>
      <c r="B32" s="1">
        <v>118</v>
      </c>
      <c r="G32" s="1">
        <v>39</v>
      </c>
      <c r="H32" s="1">
        <v>8</v>
      </c>
      <c r="M32" s="1">
        <v>54</v>
      </c>
      <c r="N32" s="1">
        <v>8</v>
      </c>
      <c r="AC32" s="1">
        <v>34</v>
      </c>
      <c r="AD32" s="1">
        <v>8</v>
      </c>
      <c r="AQ32" s="1">
        <v>62</v>
      </c>
      <c r="AR32" s="1">
        <v>8</v>
      </c>
    </row>
    <row r="33" spans="1:58" x14ac:dyDescent="0.3">
      <c r="A33" s="1" t="s">
        <v>7</v>
      </c>
      <c r="B33" s="1">
        <v>117</v>
      </c>
      <c r="C33" s="1">
        <v>22</v>
      </c>
      <c r="D33" s="1">
        <v>3</v>
      </c>
      <c r="Q33" s="1">
        <v>0</v>
      </c>
      <c r="R33" s="1">
        <v>3</v>
      </c>
      <c r="S33" s="1">
        <v>0</v>
      </c>
      <c r="T33" s="1">
        <v>3</v>
      </c>
      <c r="AC33" s="1">
        <v>49</v>
      </c>
      <c r="AD33" s="1">
        <v>4</v>
      </c>
      <c r="AI33" s="1">
        <v>28</v>
      </c>
      <c r="AJ33" s="1">
        <v>3</v>
      </c>
    </row>
    <row r="34" spans="1:58" x14ac:dyDescent="0.3">
      <c r="A34" s="1" t="s">
        <v>7</v>
      </c>
      <c r="B34" s="1">
        <v>116</v>
      </c>
      <c r="C34" s="1">
        <v>130</v>
      </c>
      <c r="D34" s="1">
        <v>12</v>
      </c>
      <c r="M34" s="1">
        <v>45</v>
      </c>
      <c r="N34" s="1">
        <v>12</v>
      </c>
      <c r="AC34" s="1">
        <v>69</v>
      </c>
      <c r="AD34" s="1">
        <v>12</v>
      </c>
      <c r="AI34" s="1">
        <v>31</v>
      </c>
      <c r="AJ34" s="1">
        <v>12</v>
      </c>
    </row>
    <row r="35" spans="1:58" x14ac:dyDescent="0.3">
      <c r="A35" s="1" t="s">
        <v>7</v>
      </c>
      <c r="B35" s="1">
        <v>115</v>
      </c>
      <c r="G35" s="1">
        <v>20</v>
      </c>
      <c r="H35" s="1">
        <v>4</v>
      </c>
      <c r="M35" s="1">
        <v>49</v>
      </c>
      <c r="N35" s="1">
        <v>4</v>
      </c>
      <c r="Q35" s="1">
        <v>24</v>
      </c>
      <c r="R35" s="1">
        <v>4</v>
      </c>
      <c r="AC35" s="1">
        <v>13</v>
      </c>
      <c r="AD35" s="1">
        <v>4</v>
      </c>
      <c r="BE35" s="1">
        <v>25</v>
      </c>
      <c r="BF35" s="1">
        <v>4</v>
      </c>
    </row>
    <row r="36" spans="1:58" x14ac:dyDescent="0.3">
      <c r="A36" s="1" t="s">
        <v>7</v>
      </c>
      <c r="B36" s="1">
        <v>114</v>
      </c>
      <c r="M36" s="1">
        <v>47</v>
      </c>
      <c r="N36" s="1">
        <v>3</v>
      </c>
      <c r="AC36" s="1">
        <v>0</v>
      </c>
      <c r="AD36" s="1">
        <v>3</v>
      </c>
      <c r="AM36" s="1">
        <v>0</v>
      </c>
      <c r="AN36" s="1">
        <v>3</v>
      </c>
      <c r="BE36" s="1">
        <v>13</v>
      </c>
      <c r="BF36" s="1">
        <v>3</v>
      </c>
    </row>
    <row r="37" spans="1:58" x14ac:dyDescent="0.3">
      <c r="A37" s="1" t="s">
        <v>7</v>
      </c>
      <c r="B37" s="1">
        <v>113</v>
      </c>
      <c r="C37" s="1">
        <v>31</v>
      </c>
      <c r="D37" s="1">
        <v>12</v>
      </c>
      <c r="G37" s="1">
        <v>131</v>
      </c>
      <c r="H37" s="1">
        <v>12</v>
      </c>
      <c r="M37" s="1">
        <v>102</v>
      </c>
      <c r="N37" s="1">
        <v>12</v>
      </c>
      <c r="U37" s="1">
        <v>10</v>
      </c>
      <c r="V37" s="1">
        <v>12</v>
      </c>
    </row>
    <row r="38" spans="1:58" x14ac:dyDescent="0.3">
      <c r="A38" s="1" t="s">
        <v>7</v>
      </c>
      <c r="B38" s="1">
        <v>112</v>
      </c>
      <c r="M38" s="1">
        <v>8</v>
      </c>
      <c r="N38" s="1">
        <v>5</v>
      </c>
      <c r="S38" s="1">
        <v>28</v>
      </c>
      <c r="T38" s="1">
        <v>5</v>
      </c>
      <c r="AC38" s="1">
        <v>35</v>
      </c>
      <c r="AD38" s="1">
        <v>5</v>
      </c>
      <c r="AY38" s="1">
        <v>21</v>
      </c>
      <c r="AZ38" s="1">
        <v>5</v>
      </c>
    </row>
    <row r="39" spans="1:58" x14ac:dyDescent="0.3">
      <c r="A39" s="1" t="s">
        <v>7</v>
      </c>
      <c r="B39" s="1">
        <v>111</v>
      </c>
      <c r="M39" s="1">
        <v>97</v>
      </c>
      <c r="N39" s="1">
        <v>8</v>
      </c>
      <c r="Q39" s="1">
        <v>45</v>
      </c>
      <c r="R39" s="1">
        <v>8</v>
      </c>
      <c r="AA39" s="1">
        <v>1</v>
      </c>
      <c r="AB39" s="1">
        <v>8</v>
      </c>
      <c r="AC39" s="1">
        <v>31</v>
      </c>
      <c r="AD39" s="1">
        <v>8</v>
      </c>
      <c r="BE39" s="1">
        <v>65</v>
      </c>
      <c r="BF39" s="1">
        <v>8</v>
      </c>
    </row>
    <row r="40" spans="1:58" x14ac:dyDescent="0.3">
      <c r="A40" s="1" t="s">
        <v>7</v>
      </c>
      <c r="B40" s="1">
        <v>110</v>
      </c>
      <c r="M40" s="1">
        <v>36</v>
      </c>
      <c r="N40" s="1">
        <v>7</v>
      </c>
      <c r="Q40" s="1">
        <v>79</v>
      </c>
      <c r="R40" s="1">
        <v>7</v>
      </c>
      <c r="S40" s="1">
        <v>-1</v>
      </c>
      <c r="T40" s="1">
        <v>7</v>
      </c>
      <c r="AC40" s="1">
        <v>47</v>
      </c>
      <c r="AD40" s="1">
        <v>7</v>
      </c>
    </row>
    <row r="41" spans="1:58" x14ac:dyDescent="0.3">
      <c r="A41" s="1" t="s">
        <v>7</v>
      </c>
      <c r="B41" s="1">
        <v>109</v>
      </c>
      <c r="G41" s="1">
        <v>40</v>
      </c>
      <c r="H41" s="1">
        <v>3</v>
      </c>
      <c r="Q41" s="1">
        <v>14</v>
      </c>
      <c r="R41" s="1">
        <v>3</v>
      </c>
      <c r="AC41" s="1">
        <v>15</v>
      </c>
      <c r="AD41" s="1">
        <v>3</v>
      </c>
      <c r="AM41" s="1">
        <v>9</v>
      </c>
      <c r="AN41" s="1">
        <v>1</v>
      </c>
      <c r="BE41" s="1">
        <v>17</v>
      </c>
      <c r="BF41" s="1">
        <v>2</v>
      </c>
    </row>
    <row r="42" spans="1:58" x14ac:dyDescent="0.3">
      <c r="A42" s="1" t="s">
        <v>7</v>
      </c>
      <c r="B42" s="1">
        <v>108</v>
      </c>
      <c r="Q42" s="1">
        <v>64</v>
      </c>
      <c r="R42" s="1">
        <v>11</v>
      </c>
      <c r="AA42" s="1">
        <v>15</v>
      </c>
      <c r="AB42" s="1">
        <v>11</v>
      </c>
      <c r="AM42" s="1">
        <v>53</v>
      </c>
      <c r="AN42" s="1">
        <v>11</v>
      </c>
      <c r="BE42" s="1">
        <v>96</v>
      </c>
      <c r="BF42" s="1">
        <v>11</v>
      </c>
    </row>
    <row r="43" spans="1:58" x14ac:dyDescent="0.3">
      <c r="A43" s="1" t="s">
        <v>7</v>
      </c>
      <c r="B43" s="1">
        <v>107</v>
      </c>
      <c r="G43" s="1">
        <v>77</v>
      </c>
      <c r="H43" s="1">
        <v>7</v>
      </c>
      <c r="M43" s="1">
        <v>63</v>
      </c>
      <c r="N43" s="1">
        <v>7</v>
      </c>
      <c r="S43" s="1">
        <v>14</v>
      </c>
      <c r="T43" s="1">
        <v>7</v>
      </c>
      <c r="AM43" s="1">
        <v>8</v>
      </c>
      <c r="AN43" s="1">
        <v>7</v>
      </c>
    </row>
    <row r="44" spans="1:58" x14ac:dyDescent="0.3">
      <c r="A44" s="1" t="s">
        <v>7</v>
      </c>
      <c r="B44" s="1">
        <v>106</v>
      </c>
      <c r="C44" s="1">
        <v>98</v>
      </c>
      <c r="D44" s="1">
        <v>16</v>
      </c>
      <c r="G44" s="1">
        <v>189</v>
      </c>
      <c r="H44" s="1">
        <v>16</v>
      </c>
      <c r="M44" s="1">
        <v>83</v>
      </c>
      <c r="N44" s="1">
        <v>16</v>
      </c>
      <c r="AC44" s="1">
        <v>54</v>
      </c>
      <c r="AD44" s="1">
        <v>16</v>
      </c>
    </row>
    <row r="45" spans="1:58" x14ac:dyDescent="0.3">
      <c r="A45" s="1" t="s">
        <v>7</v>
      </c>
      <c r="B45" s="1">
        <v>105</v>
      </c>
      <c r="C45" s="1">
        <v>79</v>
      </c>
      <c r="D45" s="1">
        <v>6</v>
      </c>
      <c r="Q45" s="1">
        <v>9</v>
      </c>
      <c r="R45" s="1">
        <v>7</v>
      </c>
      <c r="AA45" s="1">
        <v>13</v>
      </c>
      <c r="AB45" s="1">
        <v>6</v>
      </c>
      <c r="AC45" s="1">
        <v>21</v>
      </c>
      <c r="AD45" s="1">
        <v>6</v>
      </c>
      <c r="BE45" s="1">
        <v>20</v>
      </c>
      <c r="BF45" s="1">
        <v>7</v>
      </c>
    </row>
    <row r="46" spans="1:58" x14ac:dyDescent="0.3">
      <c r="A46" s="1" t="s">
        <v>7</v>
      </c>
      <c r="B46" s="1">
        <v>104</v>
      </c>
      <c r="G46" s="1">
        <v>103</v>
      </c>
      <c r="H46" s="1">
        <v>9</v>
      </c>
      <c r="M46" s="1">
        <v>31</v>
      </c>
      <c r="N46" s="1">
        <v>9</v>
      </c>
      <c r="S46" s="1">
        <v>64</v>
      </c>
      <c r="T46" s="1">
        <v>9</v>
      </c>
      <c r="AA46" s="1">
        <v>62</v>
      </c>
      <c r="AB46" s="1">
        <v>9</v>
      </c>
    </row>
    <row r="47" spans="1:58" x14ac:dyDescent="0.3">
      <c r="A47" s="1" t="s">
        <v>7</v>
      </c>
      <c r="B47" s="1">
        <v>103</v>
      </c>
      <c r="G47" s="1">
        <v>172</v>
      </c>
      <c r="H47" s="1">
        <v>17</v>
      </c>
      <c r="M47" s="1">
        <v>81</v>
      </c>
      <c r="N47" s="1">
        <v>17</v>
      </c>
      <c r="AQ47" s="1">
        <v>55</v>
      </c>
      <c r="AR47" s="1">
        <v>17</v>
      </c>
      <c r="BC47" s="1">
        <v>64</v>
      </c>
      <c r="BD47" s="1">
        <v>17</v>
      </c>
      <c r="BE47" s="1">
        <v>96</v>
      </c>
      <c r="BF47" s="1">
        <v>17</v>
      </c>
    </row>
    <row r="48" spans="1:58" x14ac:dyDescent="0.3">
      <c r="A48" s="1" t="s">
        <v>7</v>
      </c>
      <c r="B48" s="1">
        <v>102</v>
      </c>
      <c r="G48" s="1">
        <v>12</v>
      </c>
      <c r="H48" s="1">
        <v>5</v>
      </c>
      <c r="M48" s="1">
        <v>56</v>
      </c>
      <c r="N48" s="1">
        <v>5</v>
      </c>
      <c r="S48" s="1">
        <v>41</v>
      </c>
      <c r="T48" s="1">
        <v>5</v>
      </c>
      <c r="AQ48" s="1">
        <v>0</v>
      </c>
      <c r="AR48" s="1">
        <v>5</v>
      </c>
    </row>
    <row r="49" spans="1:71" x14ac:dyDescent="0.3">
      <c r="A49" s="1" t="s">
        <v>7</v>
      </c>
      <c r="B49" s="1">
        <v>101</v>
      </c>
      <c r="C49" s="1">
        <v>99</v>
      </c>
      <c r="D49" s="1">
        <v>12</v>
      </c>
      <c r="G49" s="1">
        <v>142</v>
      </c>
      <c r="H49" s="1">
        <v>12</v>
      </c>
      <c r="M49" s="1">
        <v>-30</v>
      </c>
      <c r="N49" s="1">
        <v>12</v>
      </c>
      <c r="AC49" s="1">
        <v>87</v>
      </c>
      <c r="AD49" s="1">
        <v>12</v>
      </c>
      <c r="AI49" s="1">
        <v>50</v>
      </c>
      <c r="AJ49" s="1">
        <v>12</v>
      </c>
    </row>
    <row r="50" spans="1:71" x14ac:dyDescent="0.3">
      <c r="A50" s="1" t="s">
        <v>7</v>
      </c>
      <c r="B50" s="1">
        <v>100</v>
      </c>
      <c r="C50" s="1">
        <v>22</v>
      </c>
      <c r="D50" s="1">
        <v>4</v>
      </c>
      <c r="G50" s="1">
        <v>44</v>
      </c>
      <c r="H50" s="1">
        <v>6</v>
      </c>
      <c r="M50" s="1">
        <v>8</v>
      </c>
      <c r="N50" s="1">
        <v>6</v>
      </c>
      <c r="Q50" s="1">
        <v>58</v>
      </c>
      <c r="R50" s="1">
        <v>6</v>
      </c>
      <c r="AC50" s="1">
        <v>48</v>
      </c>
      <c r="AD50" s="1">
        <v>6</v>
      </c>
      <c r="AE50" s="1" t="s">
        <v>29</v>
      </c>
    </row>
    <row r="51" spans="1:71" x14ac:dyDescent="0.3">
      <c r="A51" s="1" t="s">
        <v>7</v>
      </c>
      <c r="B51" s="1">
        <v>99</v>
      </c>
      <c r="G51" s="1">
        <v>24</v>
      </c>
      <c r="H51" s="1">
        <v>4</v>
      </c>
      <c r="M51" s="1">
        <v>21</v>
      </c>
      <c r="N51" s="1">
        <v>4</v>
      </c>
      <c r="U51" s="1">
        <v>50</v>
      </c>
      <c r="V51" s="1">
        <v>4</v>
      </c>
      <c r="AC51" s="1">
        <v>0</v>
      </c>
      <c r="AD51" s="1">
        <v>4</v>
      </c>
    </row>
    <row r="52" spans="1:71" x14ac:dyDescent="0.3">
      <c r="A52" s="1" t="s">
        <v>7</v>
      </c>
      <c r="B52" s="1">
        <v>98</v>
      </c>
      <c r="G52" s="1">
        <v>50</v>
      </c>
      <c r="H52" s="1">
        <v>5</v>
      </c>
      <c r="M52" s="1">
        <v>49</v>
      </c>
      <c r="N52" s="1">
        <v>5</v>
      </c>
      <c r="U52" s="1">
        <v>22</v>
      </c>
      <c r="V52" s="1">
        <v>5</v>
      </c>
      <c r="AA52" s="1">
        <v>0</v>
      </c>
      <c r="AB52" s="1">
        <v>5</v>
      </c>
    </row>
    <row r="53" spans="1:71" x14ac:dyDescent="0.3">
      <c r="A53" s="1" t="s">
        <v>7</v>
      </c>
      <c r="B53" s="1">
        <v>97</v>
      </c>
      <c r="C53" s="1">
        <v>60</v>
      </c>
      <c r="D53" s="1">
        <v>8</v>
      </c>
      <c r="G53" s="1">
        <v>-4</v>
      </c>
      <c r="H53" s="1">
        <v>8</v>
      </c>
      <c r="Q53" s="1">
        <v>9</v>
      </c>
      <c r="R53" s="1">
        <v>8</v>
      </c>
      <c r="AA53" s="1">
        <v>67</v>
      </c>
      <c r="AB53" s="1">
        <v>8</v>
      </c>
    </row>
    <row r="54" spans="1:71" x14ac:dyDescent="0.3">
      <c r="A54" s="1" t="s">
        <v>7</v>
      </c>
      <c r="B54" s="1">
        <v>96</v>
      </c>
      <c r="C54" s="1">
        <v>59</v>
      </c>
      <c r="D54" s="1">
        <v>4</v>
      </c>
      <c r="G54" s="1">
        <v>48</v>
      </c>
      <c r="H54" s="1">
        <v>4</v>
      </c>
      <c r="Q54" s="1">
        <v>28</v>
      </c>
      <c r="R54" s="1">
        <v>4</v>
      </c>
      <c r="U54" s="1">
        <v>-31</v>
      </c>
      <c r="V54" s="1">
        <v>4</v>
      </c>
    </row>
    <row r="55" spans="1:71" x14ac:dyDescent="0.3">
      <c r="A55" s="1" t="s">
        <v>7</v>
      </c>
      <c r="B55" s="1">
        <v>95</v>
      </c>
      <c r="C55" s="1">
        <v>46</v>
      </c>
      <c r="D55" s="1">
        <v>8</v>
      </c>
      <c r="G55" s="1">
        <v>90</v>
      </c>
      <c r="H55" s="1">
        <v>8</v>
      </c>
      <c r="Q55" s="1">
        <v>58</v>
      </c>
      <c r="R55" s="1">
        <v>8</v>
      </c>
      <c r="AI55" s="1">
        <v>13</v>
      </c>
      <c r="AJ55" s="1">
        <v>8</v>
      </c>
    </row>
    <row r="56" spans="1:71" x14ac:dyDescent="0.3">
      <c r="A56" s="1" t="s">
        <v>7</v>
      </c>
      <c r="B56" s="1">
        <v>94</v>
      </c>
      <c r="C56" s="1">
        <v>30</v>
      </c>
      <c r="D56" s="1">
        <v>8</v>
      </c>
      <c r="G56" s="1">
        <v>62</v>
      </c>
      <c r="H56" s="1">
        <v>8</v>
      </c>
      <c r="K56" s="1">
        <v>86</v>
      </c>
      <c r="L56" s="1">
        <v>8</v>
      </c>
      <c r="M56" s="1">
        <v>0</v>
      </c>
      <c r="N56" s="1">
        <v>8</v>
      </c>
    </row>
    <row r="57" spans="1:71" x14ac:dyDescent="0.3">
      <c r="A57" s="1" t="s">
        <v>7</v>
      </c>
      <c r="B57" s="1">
        <v>93</v>
      </c>
      <c r="G57" s="1">
        <v>130</v>
      </c>
      <c r="H57" s="1">
        <v>20</v>
      </c>
      <c r="M57" s="1">
        <v>108</v>
      </c>
      <c r="N57" s="1">
        <v>20</v>
      </c>
      <c r="U57" s="1">
        <v>99</v>
      </c>
      <c r="V57" s="1">
        <v>20</v>
      </c>
      <c r="AA57" s="1">
        <v>99</v>
      </c>
      <c r="AB57" s="1">
        <v>20</v>
      </c>
    </row>
    <row r="58" spans="1:71" x14ac:dyDescent="0.3">
      <c r="A58" s="1" t="s">
        <v>7</v>
      </c>
      <c r="B58" s="1">
        <v>92</v>
      </c>
      <c r="C58" s="1">
        <v>13</v>
      </c>
      <c r="D58" s="1">
        <v>4</v>
      </c>
      <c r="G58" s="1">
        <v>25</v>
      </c>
      <c r="H58" s="1">
        <v>4</v>
      </c>
      <c r="M58" s="1">
        <v>13</v>
      </c>
      <c r="N58" s="1">
        <v>4</v>
      </c>
      <c r="U58" s="1">
        <v>34</v>
      </c>
      <c r="V58" s="1">
        <v>4</v>
      </c>
    </row>
    <row r="59" spans="1:71" x14ac:dyDescent="0.3">
      <c r="A59" s="1" t="s">
        <v>7</v>
      </c>
      <c r="B59" s="1">
        <v>91</v>
      </c>
      <c r="G59" s="1">
        <v>123</v>
      </c>
      <c r="H59" s="1">
        <v>16</v>
      </c>
      <c r="M59" s="1">
        <v>108</v>
      </c>
      <c r="N59" s="1">
        <v>16</v>
      </c>
      <c r="Q59" s="1">
        <v>122</v>
      </c>
      <c r="R59" s="1">
        <v>16</v>
      </c>
      <c r="AA59" s="1">
        <v>97</v>
      </c>
      <c r="AB59" s="1">
        <v>16</v>
      </c>
      <c r="BP59" s="1" t="s">
        <v>43</v>
      </c>
      <c r="BR59" s="1" t="s">
        <v>53</v>
      </c>
    </row>
    <row r="60" spans="1:71" x14ac:dyDescent="0.3">
      <c r="A60" s="1" t="s">
        <v>7</v>
      </c>
      <c r="B60" s="1">
        <v>90</v>
      </c>
      <c r="C60" s="1">
        <v>62</v>
      </c>
      <c r="D60" s="1">
        <v>12</v>
      </c>
      <c r="G60" s="1">
        <v>39</v>
      </c>
      <c r="H60" s="1">
        <v>12</v>
      </c>
      <c r="M60" s="1">
        <v>98</v>
      </c>
      <c r="N60" s="1">
        <v>12</v>
      </c>
      <c r="U60" s="1">
        <v>42</v>
      </c>
      <c r="V60" s="1">
        <v>12</v>
      </c>
      <c r="BP60" s="1" t="s">
        <v>42</v>
      </c>
    </row>
    <row r="61" spans="1:71" x14ac:dyDescent="0.3">
      <c r="A61" s="1" t="s">
        <v>7</v>
      </c>
      <c r="B61" s="1">
        <v>89</v>
      </c>
      <c r="C61" s="1">
        <v>34</v>
      </c>
      <c r="D61" s="1">
        <v>5</v>
      </c>
      <c r="G61" s="1">
        <v>67</v>
      </c>
      <c r="H61" s="1">
        <v>5</v>
      </c>
      <c r="M61" s="1">
        <v>9</v>
      </c>
      <c r="N61" s="1">
        <v>5</v>
      </c>
      <c r="Q61" s="1">
        <v>14</v>
      </c>
      <c r="R61" s="1">
        <v>5</v>
      </c>
      <c r="BP61" s="1" t="s">
        <v>51</v>
      </c>
      <c r="BQ61" s="23"/>
      <c r="BR61" s="1" t="s">
        <v>60</v>
      </c>
      <c r="BS61" s="1" t="s">
        <v>63</v>
      </c>
    </row>
    <row r="62" spans="1:71" x14ac:dyDescent="0.3">
      <c r="A62" s="1" t="s">
        <v>7</v>
      </c>
      <c r="B62" s="1">
        <v>88</v>
      </c>
      <c r="C62" s="1">
        <v>8</v>
      </c>
      <c r="D62" s="1">
        <v>4</v>
      </c>
      <c r="G62" s="1">
        <v>46</v>
      </c>
      <c r="H62" s="1">
        <v>4</v>
      </c>
      <c r="M62" s="1">
        <v>23</v>
      </c>
      <c r="N62" s="1">
        <v>4</v>
      </c>
      <c r="S62" s="1">
        <v>6</v>
      </c>
      <c r="T62" s="1">
        <v>4</v>
      </c>
      <c r="BP62" s="1" t="s">
        <v>52</v>
      </c>
      <c r="BQ62" s="24"/>
      <c r="BR62" s="1" t="s">
        <v>61</v>
      </c>
      <c r="BS62" s="1" t="s">
        <v>54</v>
      </c>
    </row>
    <row r="63" spans="1:71" x14ac:dyDescent="0.3">
      <c r="A63" s="1" t="s">
        <v>7</v>
      </c>
      <c r="B63" s="1">
        <v>87</v>
      </c>
      <c r="C63" s="1">
        <v>21</v>
      </c>
      <c r="D63" s="1">
        <v>3</v>
      </c>
      <c r="G63" s="1">
        <v>23</v>
      </c>
      <c r="H63" s="1">
        <v>3</v>
      </c>
      <c r="I63" s="1">
        <v>8</v>
      </c>
      <c r="J63" s="1">
        <v>3</v>
      </c>
      <c r="M63" s="1">
        <v>0</v>
      </c>
      <c r="N63" s="1">
        <v>3</v>
      </c>
      <c r="BP63" s="1" t="s">
        <v>50</v>
      </c>
      <c r="BQ63" s="17"/>
      <c r="BR63" s="1" t="s">
        <v>55</v>
      </c>
      <c r="BS63" s="1" t="s">
        <v>64</v>
      </c>
    </row>
    <row r="64" spans="1:71" x14ac:dyDescent="0.3">
      <c r="A64" s="1" t="s">
        <v>7</v>
      </c>
      <c r="B64" s="1">
        <v>86</v>
      </c>
      <c r="C64" s="1">
        <v>0</v>
      </c>
      <c r="D64" s="1">
        <v>4</v>
      </c>
      <c r="G64" s="1">
        <v>37</v>
      </c>
      <c r="H64" s="1">
        <v>4</v>
      </c>
      <c r="I64" s="1">
        <v>25</v>
      </c>
      <c r="J64" s="1">
        <v>4</v>
      </c>
      <c r="K64" s="1">
        <v>62</v>
      </c>
      <c r="L64" s="1">
        <v>4</v>
      </c>
      <c r="BP64" s="1" t="s">
        <v>44</v>
      </c>
      <c r="BQ64" s="18"/>
      <c r="BR64" s="1" t="s">
        <v>59</v>
      </c>
      <c r="BS64" s="1" t="s">
        <v>65</v>
      </c>
    </row>
    <row r="65" spans="1:75" x14ac:dyDescent="0.3">
      <c r="A65" s="1" t="s">
        <v>7</v>
      </c>
      <c r="B65" s="1">
        <v>85</v>
      </c>
      <c r="C65" s="1">
        <v>93</v>
      </c>
      <c r="D65" s="1">
        <v>8</v>
      </c>
      <c r="G65" s="1">
        <v>13</v>
      </c>
      <c r="H65" s="1">
        <v>8</v>
      </c>
      <c r="S65" s="1">
        <v>81</v>
      </c>
      <c r="T65" s="1">
        <v>8</v>
      </c>
      <c r="AA65" s="1">
        <v>55</v>
      </c>
      <c r="AB65" s="1">
        <v>8</v>
      </c>
      <c r="BP65" s="1" t="s">
        <v>45</v>
      </c>
      <c r="BQ65" s="21"/>
      <c r="BR65" s="1" t="s">
        <v>56</v>
      </c>
      <c r="BS65" s="1" t="s">
        <v>66</v>
      </c>
    </row>
    <row r="66" spans="1:75" x14ac:dyDescent="0.3">
      <c r="A66" s="1" t="s">
        <v>7</v>
      </c>
      <c r="B66" s="1">
        <v>84</v>
      </c>
      <c r="C66" s="1">
        <v>34</v>
      </c>
      <c r="D66" s="1">
        <v>8</v>
      </c>
      <c r="G66" s="1">
        <v>52</v>
      </c>
      <c r="H66" s="1">
        <v>8</v>
      </c>
      <c r="M66" s="1">
        <v>34</v>
      </c>
      <c r="N66" s="1">
        <v>8</v>
      </c>
      <c r="S66" s="1">
        <v>50</v>
      </c>
      <c r="T66" s="1">
        <v>8</v>
      </c>
      <c r="AA66" s="1">
        <v>32</v>
      </c>
      <c r="AB66" s="1">
        <v>8</v>
      </c>
      <c r="BP66" s="1" t="s">
        <v>46</v>
      </c>
      <c r="BQ66" s="19"/>
      <c r="BR66" s="1" t="s">
        <v>57</v>
      </c>
      <c r="BS66" s="1" t="s">
        <v>67</v>
      </c>
    </row>
    <row r="67" spans="1:75" x14ac:dyDescent="0.3">
      <c r="A67" s="1" t="s">
        <v>7</v>
      </c>
      <c r="B67" s="1">
        <v>83</v>
      </c>
      <c r="C67" s="1">
        <v>23</v>
      </c>
      <c r="D67" s="1">
        <v>8</v>
      </c>
      <c r="G67" s="1">
        <v>24</v>
      </c>
      <c r="H67" s="1">
        <v>8</v>
      </c>
      <c r="M67" s="1">
        <v>94</v>
      </c>
      <c r="N67" s="1">
        <v>8</v>
      </c>
      <c r="S67" s="1">
        <v>43</v>
      </c>
      <c r="T67" s="1">
        <v>8</v>
      </c>
      <c r="BP67" s="1" t="s">
        <v>47</v>
      </c>
      <c r="BQ67" s="20"/>
      <c r="BR67" s="1" t="s">
        <v>58</v>
      </c>
      <c r="BS67" s="1" t="s">
        <v>68</v>
      </c>
    </row>
    <row r="68" spans="1:75" x14ac:dyDescent="0.3">
      <c r="A68" s="1" t="s">
        <v>7</v>
      </c>
      <c r="B68" s="1">
        <v>82</v>
      </c>
      <c r="C68" s="1">
        <v>72</v>
      </c>
      <c r="D68" s="1">
        <v>12</v>
      </c>
      <c r="G68" s="1">
        <v>84</v>
      </c>
      <c r="H68" s="1">
        <v>12</v>
      </c>
      <c r="M68" s="1">
        <v>56</v>
      </c>
      <c r="N68" s="1">
        <v>12</v>
      </c>
      <c r="AI68" s="1">
        <v>32</v>
      </c>
      <c r="AJ68" s="1">
        <v>12</v>
      </c>
      <c r="BP68" s="1" t="s">
        <v>48</v>
      </c>
      <c r="BQ68" s="22"/>
      <c r="BR68" s="1" t="s">
        <v>62</v>
      </c>
      <c r="BS68" s="1" t="s">
        <v>69</v>
      </c>
    </row>
    <row r="69" spans="1:75" x14ac:dyDescent="0.3">
      <c r="A69" s="1" t="s">
        <v>7</v>
      </c>
      <c r="B69" s="1">
        <v>81</v>
      </c>
      <c r="C69" s="1">
        <v>29</v>
      </c>
      <c r="D69" s="1">
        <v>5</v>
      </c>
      <c r="E69" s="1">
        <v>33</v>
      </c>
      <c r="F69" s="1">
        <v>6</v>
      </c>
      <c r="G69" s="1">
        <v>30.5</v>
      </c>
      <c r="H69" s="1">
        <v>3</v>
      </c>
      <c r="M69" s="1">
        <v>16</v>
      </c>
      <c r="N69" s="1">
        <v>2</v>
      </c>
      <c r="U69" s="1">
        <v>-20</v>
      </c>
      <c r="V69" s="1">
        <v>5</v>
      </c>
      <c r="AA69" s="1">
        <v>30.5</v>
      </c>
      <c r="AB69" s="1">
        <v>3</v>
      </c>
    </row>
    <row r="70" spans="1:75" x14ac:dyDescent="0.3">
      <c r="A70" s="1" t="s">
        <v>7</v>
      </c>
      <c r="B70" s="1">
        <v>80</v>
      </c>
      <c r="C70" s="1">
        <v>28</v>
      </c>
      <c r="D70" s="1">
        <v>7</v>
      </c>
      <c r="E70" s="1">
        <v>0</v>
      </c>
      <c r="F70" s="1">
        <v>7</v>
      </c>
      <c r="G70" s="1">
        <v>54</v>
      </c>
      <c r="H70" s="1">
        <v>8</v>
      </c>
      <c r="S70" s="1">
        <v>67</v>
      </c>
      <c r="T70" s="1">
        <v>7</v>
      </c>
      <c r="U70" s="1">
        <v>46</v>
      </c>
      <c r="V70" s="1">
        <v>7</v>
      </c>
      <c r="BL70" s="1" t="s">
        <v>8</v>
      </c>
      <c r="BM70" s="1" t="s">
        <v>36</v>
      </c>
      <c r="BN70" s="1" t="s">
        <v>37</v>
      </c>
      <c r="BO70" s="1" t="s">
        <v>42</v>
      </c>
      <c r="BQ70" s="1" t="s">
        <v>40</v>
      </c>
      <c r="BR70" s="1" t="s">
        <v>36</v>
      </c>
      <c r="BS70" s="1" t="s">
        <v>41</v>
      </c>
      <c r="BT70" s="1" t="s">
        <v>42</v>
      </c>
      <c r="BV70" s="1" t="s">
        <v>35</v>
      </c>
    </row>
    <row r="71" spans="1:75" x14ac:dyDescent="0.3">
      <c r="A71" s="1" t="s">
        <v>7</v>
      </c>
      <c r="B71" s="1">
        <v>79</v>
      </c>
      <c r="C71" s="1">
        <v>75</v>
      </c>
      <c r="D71" s="1">
        <v>8</v>
      </c>
      <c r="E71" s="1">
        <v>87</v>
      </c>
      <c r="F71" s="1">
        <v>8</v>
      </c>
      <c r="G71" s="1">
        <v>10</v>
      </c>
      <c r="H71" s="1">
        <v>8</v>
      </c>
      <c r="W71" s="1">
        <v>32</v>
      </c>
      <c r="X71" s="1">
        <v>8</v>
      </c>
    </row>
    <row r="72" spans="1:75" x14ac:dyDescent="0.3">
      <c r="A72" s="1" t="s">
        <v>7</v>
      </c>
      <c r="B72" s="1">
        <v>78</v>
      </c>
      <c r="C72" s="1">
        <v>0</v>
      </c>
      <c r="D72" s="1">
        <v>3</v>
      </c>
      <c r="E72" s="1">
        <v>0</v>
      </c>
      <c r="F72" s="1">
        <v>1</v>
      </c>
      <c r="G72" s="1">
        <v>44</v>
      </c>
      <c r="H72" s="1">
        <v>4</v>
      </c>
      <c r="I72" s="1">
        <v>-14</v>
      </c>
      <c r="J72" s="1">
        <v>2</v>
      </c>
      <c r="M72" s="1">
        <v>33</v>
      </c>
      <c r="N72" s="1">
        <v>4</v>
      </c>
      <c r="W72" s="1">
        <v>-1</v>
      </c>
      <c r="X72" s="1">
        <v>4</v>
      </c>
      <c r="BA72" s="1">
        <v>34</v>
      </c>
      <c r="BB72" s="1">
        <v>2</v>
      </c>
      <c r="BI72" s="2"/>
      <c r="BJ72" s="1" t="s">
        <v>30</v>
      </c>
      <c r="BL72" s="1" cm="1">
        <f t="array" ref="BL72:BO90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TEXT(ROUND(INDEX(_xlpm.T,,2),3),"0.000"),
          INDEX(_xlpm.T,,3))
)</f>
        <v>1</v>
      </c>
      <c r="BM72" s="1" t="str">
        <v>Gauthier</v>
      </c>
      <c r="BN72" s="1" t="str">
        <v>7.391</v>
      </c>
      <c r="BO72" s="1">
        <v>69</v>
      </c>
      <c r="BQ72" s="1" cm="1">
        <f t="array" ref="BQ72:BT80">_xlfn.LET(
  _xlpm.cols_impairs, _xlfn.SEQUENCE(1,COLUMNS(C1:BF1)/2,1,2),
  _xlpm.cols_pairs,   _xlfn.SEQUENCE(1,COLUMNS(C2:BF2)/2,2,2),
  _xlpm.noms,     TRANSPOSE(INDEX(C9:BF9,,_xlpm.cols_impairs)),
  _xlpm.moy,      TRANSPOSE(INDEX(C1:BF1,,_xlpm.cols_impairs)),
  _xlpm.points,   TRANSPOSE(INDEX(C2:BF2,,_xlpm.cols_impairs)),
  _xlpm.parties,  TRANSPOSE(INDEX(C2:BF2,,_xlpm.cols_pairs)),
  _xlpm.ko, NOT(ISNUMBER(_xlpm.moy)),
  _xlpm.nomsK,   _xlfn._xlws.FILTER(_xlpm.noms, _xlpm.ko),
  _xlpm.virtK,   _xlfn._xlws.FILTER(_xlpm.points/_xlpm.parties, _xlpm.ko),
  _xlpm.partK,   _xlfn._xlws.FILTER(_xlpm.parties, _xlpm.ko),
  _xlpm.T, _xlfn._xlws.SORT(CHOOSE({1,2,3}, _xlpm.nomsK, _xlpm.virtK, _xlpm.partK), 2, -1),
  CHOOSE({1,2,3,4},
          _xlfn.SEQUENCE(ROWS(_xlpm.T)),
          INDEX(_xlpm.T,,1),
          TEXT(INDEX(_xlpm.T,,2),"0.000"),
          INDEX(_xlpm.T,,3))
)</f>
        <v>1</v>
      </c>
      <c r="BR72" s="1" t="str">
        <v>Amélie</v>
      </c>
      <c r="BS72" s="1" t="str">
        <v>17.000</v>
      </c>
      <c r="BT72" s="1">
        <v>2</v>
      </c>
      <c r="BV72" s="1" t="str" cm="1">
        <f t="array" ref="BV72:BW99">_xlfn.LET(  _xlpm.noms, TRANSPOSE(INDEX(C9:BF9,_xlfn.SEQUENCE(1,COLUMNS(C9:BF9)/2,1,2))),_xlpm.moy,  TRANSPOSE(INDEX(C1:BF1,,_xlfn.SEQUENCE(1,COLUMNS(C1:BF1)/2,1,2))),_xlfn.SORTBY(CHOOSE({1,2}, _xlpm.noms, _xlpm.moy), IF(ISNUMBER(_xlpm.moy), _xlpm.moy, -1E+99), -1))</f>
        <v>Gauthier</v>
      </c>
      <c r="BW72" s="1">
        <v>7.3913043478260869</v>
      </c>
    </row>
    <row r="73" spans="1:75" x14ac:dyDescent="0.3">
      <c r="A73" s="1" t="s">
        <v>24</v>
      </c>
      <c r="B73" s="1">
        <v>77</v>
      </c>
      <c r="G73" s="1">
        <v>135</v>
      </c>
      <c r="H73" s="1">
        <v>12</v>
      </c>
      <c r="M73" s="1">
        <v>142</v>
      </c>
      <c r="N73" s="1">
        <v>12</v>
      </c>
      <c r="U73" s="1">
        <v>-7</v>
      </c>
      <c r="V73" s="1">
        <v>12</v>
      </c>
      <c r="AA73" s="1">
        <v>20</v>
      </c>
      <c r="AB73" s="1">
        <v>8</v>
      </c>
      <c r="BI73" s="3"/>
      <c r="BJ73" s="1" t="s">
        <v>31</v>
      </c>
      <c r="BL73" s="1">
        <v>2</v>
      </c>
      <c r="BM73" s="1" t="str">
        <v>Boris</v>
      </c>
      <c r="BN73" s="1" t="str">
        <v>7.263</v>
      </c>
      <c r="BO73" s="1">
        <v>1015</v>
      </c>
      <c r="BQ73" s="1">
        <v>2</v>
      </c>
      <c r="BR73" s="1" t="str">
        <v>Maxime_Ca</v>
      </c>
      <c r="BS73" s="1" t="str">
        <v>8.500</v>
      </c>
      <c r="BT73" s="1">
        <v>4</v>
      </c>
      <c r="BV73" s="1" t="str">
        <v>Boris</v>
      </c>
      <c r="BW73" s="1">
        <v>7.2625615763546794</v>
      </c>
    </row>
    <row r="74" spans="1:75" x14ac:dyDescent="0.3">
      <c r="A74" s="1" t="s">
        <v>24</v>
      </c>
      <c r="B74" s="1">
        <v>76</v>
      </c>
      <c r="C74" s="1">
        <v>-9</v>
      </c>
      <c r="D74" s="1">
        <v>4</v>
      </c>
      <c r="E74" s="1">
        <v>39</v>
      </c>
      <c r="F74" s="1">
        <v>4</v>
      </c>
      <c r="G74" s="1">
        <v>45</v>
      </c>
      <c r="H74" s="1">
        <v>4</v>
      </c>
      <c r="AI74" s="1">
        <v>-3</v>
      </c>
      <c r="AJ74" s="1">
        <v>4</v>
      </c>
      <c r="BI74" s="4"/>
      <c r="BJ74" s="1" t="s">
        <v>32</v>
      </c>
      <c r="BL74" s="1">
        <v>3</v>
      </c>
      <c r="BM74" s="1" t="str">
        <v>Célian</v>
      </c>
      <c r="BN74" s="1" t="str">
        <v>6.236</v>
      </c>
      <c r="BO74" s="1">
        <v>246</v>
      </c>
      <c r="BQ74" s="1">
        <v>3</v>
      </c>
      <c r="BR74" s="1" t="str">
        <v>Pascale</v>
      </c>
      <c r="BS74" s="1" t="str">
        <v>7.118</v>
      </c>
      <c r="BT74" s="1">
        <v>17</v>
      </c>
      <c r="BV74" s="1" t="str">
        <v>Célian</v>
      </c>
      <c r="BW74" s="1">
        <v>6.2357723577235769</v>
      </c>
    </row>
    <row r="75" spans="1:75" x14ac:dyDescent="0.3">
      <c r="A75" s="1" t="s">
        <v>22</v>
      </c>
      <c r="B75" s="1">
        <v>75</v>
      </c>
      <c r="C75" s="1">
        <v>20</v>
      </c>
      <c r="D75" s="1">
        <v>4</v>
      </c>
      <c r="G75" s="1">
        <v>58</v>
      </c>
      <c r="H75" s="1">
        <v>4</v>
      </c>
      <c r="U75" s="1">
        <v>-30</v>
      </c>
      <c r="V75" s="1">
        <v>4</v>
      </c>
      <c r="AU75" s="1">
        <v>34</v>
      </c>
      <c r="AV75" s="1">
        <v>4</v>
      </c>
      <c r="BL75" s="1">
        <v>4</v>
      </c>
      <c r="BM75" s="1" t="str">
        <v>Joachim</v>
      </c>
      <c r="BN75" s="1" t="str">
        <v>6.202</v>
      </c>
      <c r="BO75" s="1">
        <v>104</v>
      </c>
      <c r="BQ75" s="1">
        <v>4</v>
      </c>
      <c r="BR75" s="1" t="str">
        <v>Harrison</v>
      </c>
      <c r="BS75" s="1" t="str">
        <v>5.400</v>
      </c>
      <c r="BT75" s="1">
        <v>5</v>
      </c>
      <c r="BV75" s="1" t="str">
        <v>Joachim</v>
      </c>
      <c r="BW75" s="1">
        <v>6.2019230769230766</v>
      </c>
    </row>
    <row r="76" spans="1:75" x14ac:dyDescent="0.3">
      <c r="A76" s="1" t="s">
        <v>7</v>
      </c>
      <c r="B76" s="1">
        <v>74</v>
      </c>
      <c r="C76" s="1">
        <v>27</v>
      </c>
      <c r="D76" s="1">
        <v>4</v>
      </c>
      <c r="G76" s="1">
        <v>13</v>
      </c>
      <c r="H76" s="1">
        <v>4</v>
      </c>
      <c r="M76" s="1">
        <v>29</v>
      </c>
      <c r="N76" s="1">
        <v>4</v>
      </c>
      <c r="U76" s="1">
        <v>21</v>
      </c>
      <c r="V76" s="1">
        <v>4</v>
      </c>
      <c r="BI76" s="5"/>
      <c r="BJ76" s="1" t="s">
        <v>9</v>
      </c>
      <c r="BL76" s="1">
        <v>5</v>
      </c>
      <c r="BM76" s="1" t="str">
        <v>Tom</v>
      </c>
      <c r="BN76" s="1" t="str">
        <v>6.109</v>
      </c>
      <c r="BO76" s="1">
        <v>193</v>
      </c>
      <c r="BQ76" s="1">
        <v>5</v>
      </c>
      <c r="BR76" s="1" t="str">
        <v>Stanislas</v>
      </c>
      <c r="BS76" s="1" t="str">
        <v>3.765</v>
      </c>
      <c r="BT76" s="1">
        <v>17</v>
      </c>
      <c r="BV76" s="1" t="str">
        <v>Tom</v>
      </c>
      <c r="BW76" s="1">
        <v>6.1088082901554408</v>
      </c>
    </row>
    <row r="77" spans="1:75" x14ac:dyDescent="0.3">
      <c r="A77" s="1" t="s">
        <v>7</v>
      </c>
      <c r="B77" s="1">
        <v>73</v>
      </c>
      <c r="C77" s="1">
        <v>92</v>
      </c>
      <c r="D77" s="1">
        <v>7</v>
      </c>
      <c r="G77" s="1">
        <v>27</v>
      </c>
      <c r="H77" s="1">
        <v>7</v>
      </c>
      <c r="U77" s="1">
        <v>-5</v>
      </c>
      <c r="V77" s="1">
        <v>7</v>
      </c>
      <c r="AA77" s="1">
        <v>43</v>
      </c>
      <c r="AB77" s="1">
        <v>7</v>
      </c>
      <c r="BI77" s="10"/>
      <c r="BJ77" s="1" t="s">
        <v>12</v>
      </c>
      <c r="BL77" s="1">
        <v>6</v>
      </c>
      <c r="BM77" s="1" t="str">
        <v>William</v>
      </c>
      <c r="BN77" s="1" t="str">
        <v>6.069</v>
      </c>
      <c r="BO77" s="1">
        <v>29</v>
      </c>
      <c r="BQ77" s="1">
        <v>6</v>
      </c>
      <c r="BR77" s="1" t="str">
        <v>Émile</v>
      </c>
      <c r="BS77" s="1" t="str">
        <v>3.308</v>
      </c>
      <c r="BT77" s="1">
        <v>13</v>
      </c>
      <c r="BV77" s="1" t="str">
        <v>William</v>
      </c>
      <c r="BW77" s="1">
        <v>6.068965517241379</v>
      </c>
    </row>
    <row r="78" spans="1:75" x14ac:dyDescent="0.3">
      <c r="A78" s="1" t="s">
        <v>7</v>
      </c>
      <c r="B78" s="1">
        <v>72</v>
      </c>
      <c r="C78" s="1">
        <v>11</v>
      </c>
      <c r="D78" s="1">
        <v>1</v>
      </c>
      <c r="G78" s="1">
        <v>11</v>
      </c>
      <c r="H78" s="1">
        <v>1</v>
      </c>
      <c r="M78" s="1">
        <v>-11</v>
      </c>
      <c r="N78" s="1">
        <v>1</v>
      </c>
      <c r="U78" s="1">
        <v>-11</v>
      </c>
      <c r="V78" s="1">
        <v>1</v>
      </c>
      <c r="BI78" s="6"/>
      <c r="BJ78" s="1" t="s">
        <v>11</v>
      </c>
      <c r="BL78" s="1">
        <v>7</v>
      </c>
      <c r="BM78" s="1" t="str">
        <v>Samuel</v>
      </c>
      <c r="BN78" s="1" t="str">
        <v>5.910</v>
      </c>
      <c r="BO78" s="1">
        <v>211</v>
      </c>
      <c r="BQ78" s="1">
        <v>7</v>
      </c>
      <c r="BR78" s="1" t="str">
        <v>Aurélien</v>
      </c>
      <c r="BS78" s="1" t="str">
        <v>2.800</v>
      </c>
      <c r="BT78" s="1">
        <v>5</v>
      </c>
      <c r="BV78" s="1" t="str">
        <v>Samuel</v>
      </c>
      <c r="BW78" s="1">
        <v>5.9099526066350707</v>
      </c>
    </row>
    <row r="79" spans="1:75" x14ac:dyDescent="0.3">
      <c r="A79" s="1" t="s">
        <v>7</v>
      </c>
      <c r="B79" s="1">
        <v>71</v>
      </c>
      <c r="C79" s="1">
        <v>31</v>
      </c>
      <c r="D79" s="1">
        <v>5</v>
      </c>
      <c r="G79" s="1">
        <v>25</v>
      </c>
      <c r="H79" s="1">
        <v>5</v>
      </c>
      <c r="U79" s="1">
        <v>41</v>
      </c>
      <c r="V79" s="1">
        <v>5</v>
      </c>
      <c r="AW79" s="1">
        <v>14</v>
      </c>
      <c r="AX79" s="1">
        <v>5</v>
      </c>
      <c r="BL79" s="1">
        <v>8</v>
      </c>
      <c r="BM79" s="1" t="str">
        <v>Mehdi</v>
      </c>
      <c r="BN79" s="1" t="str">
        <v>5.770</v>
      </c>
      <c r="BO79" s="1">
        <v>421</v>
      </c>
      <c r="BQ79" s="1">
        <v>8</v>
      </c>
      <c r="BR79" s="1" t="str">
        <v>Maxime_Go</v>
      </c>
      <c r="BS79" s="1" t="str">
        <v>0.727</v>
      </c>
      <c r="BT79" s="1">
        <v>11</v>
      </c>
      <c r="BV79" s="1" t="str">
        <v>Mehdi</v>
      </c>
      <c r="BW79" s="1">
        <v>5.7695961995249405</v>
      </c>
    </row>
    <row r="80" spans="1:75" x14ac:dyDescent="0.3">
      <c r="A80" s="15" t="s">
        <v>7</v>
      </c>
      <c r="B80" s="15">
        <v>70</v>
      </c>
      <c r="C80" s="15">
        <v>79</v>
      </c>
      <c r="D80" s="15">
        <v>16</v>
      </c>
      <c r="E80" s="15">
        <v>99</v>
      </c>
      <c r="F80" s="15">
        <v>16</v>
      </c>
      <c r="G80" s="15">
        <v>139</v>
      </c>
      <c r="H80" s="15">
        <v>16</v>
      </c>
      <c r="I80" s="15"/>
      <c r="J80" s="15"/>
      <c r="K80" s="15"/>
      <c r="L80" s="15"/>
      <c r="M80" s="15">
        <v>4</v>
      </c>
      <c r="N80" s="15">
        <v>4</v>
      </c>
      <c r="O80" s="15"/>
      <c r="P80" s="15"/>
      <c r="Q80" s="15"/>
      <c r="R80" s="15"/>
      <c r="S80" s="15"/>
      <c r="T80" s="15"/>
      <c r="U80" s="15"/>
      <c r="V80" s="15"/>
      <c r="W80" s="15">
        <v>-9</v>
      </c>
      <c r="X80" s="15">
        <v>16</v>
      </c>
      <c r="Y80" s="15"/>
      <c r="Z80" s="15"/>
      <c r="AA80" s="15"/>
      <c r="AB80" s="15"/>
      <c r="AC80" s="15"/>
      <c r="AD80" s="15"/>
      <c r="AE80" s="15"/>
      <c r="AF80" s="15"/>
      <c r="AG80" s="15"/>
      <c r="AH80" s="15"/>
      <c r="AI80" s="15"/>
      <c r="AJ80" s="15"/>
      <c r="AK80" s="15"/>
      <c r="AL80" s="15"/>
      <c r="AM80" s="15"/>
      <c r="AN80" s="15"/>
      <c r="AO80" s="15"/>
      <c r="AP80" s="15"/>
      <c r="AQ80" s="15"/>
      <c r="AR80" s="15"/>
      <c r="AS80" s="15"/>
      <c r="AT80" s="15"/>
      <c r="AU80" s="15"/>
      <c r="AV80" s="15"/>
      <c r="AW80" s="15"/>
      <c r="AX80" s="15"/>
      <c r="AY80" s="15"/>
      <c r="BI80" s="7"/>
      <c r="BJ80" s="1" t="s">
        <v>14</v>
      </c>
      <c r="BL80" s="1">
        <v>9</v>
      </c>
      <c r="BM80" s="1" t="str">
        <v>Damien</v>
      </c>
      <c r="BN80" s="1" t="str">
        <v>5.599</v>
      </c>
      <c r="BO80" s="1">
        <v>593</v>
      </c>
      <c r="BQ80" s="1">
        <v>9</v>
      </c>
      <c r="BR80" s="1" t="str">
        <v>Robin</v>
      </c>
      <c r="BS80" s="1" t="str">
        <v>-0.083</v>
      </c>
      <c r="BT80" s="1">
        <v>12</v>
      </c>
      <c r="BV80" s="1" t="str">
        <v>Damien</v>
      </c>
      <c r="BW80" s="1">
        <v>5.5986509274873528</v>
      </c>
    </row>
    <row r="81" spans="1:75" x14ac:dyDescent="0.3">
      <c r="A81" s="15" t="s">
        <v>7</v>
      </c>
      <c r="B81" s="15">
        <v>69</v>
      </c>
      <c r="C81" s="15">
        <v>80</v>
      </c>
      <c r="D81" s="15">
        <v>12</v>
      </c>
      <c r="E81" s="15">
        <v>97</v>
      </c>
      <c r="F81" s="15">
        <v>12</v>
      </c>
      <c r="G81" s="15">
        <v>43</v>
      </c>
      <c r="H81" s="15">
        <v>12</v>
      </c>
      <c r="I81" s="15"/>
      <c r="J81" s="15"/>
      <c r="K81" s="15"/>
      <c r="L81" s="15"/>
      <c r="M81" s="15">
        <v>59</v>
      </c>
      <c r="N81" s="15">
        <v>12</v>
      </c>
      <c r="O81" s="15"/>
      <c r="P81" s="15"/>
      <c r="Q81" s="15"/>
      <c r="R81" s="15"/>
      <c r="S81" s="15"/>
      <c r="T81" s="15"/>
      <c r="U81" s="15"/>
      <c r="V81" s="15"/>
      <c r="W81" s="15"/>
      <c r="X81" s="15"/>
      <c r="Y81" s="15"/>
      <c r="Z81" s="15"/>
      <c r="AA81" s="15"/>
      <c r="AB81" s="15"/>
      <c r="AC81" s="15"/>
      <c r="AD81" s="15"/>
      <c r="AE81" s="15"/>
      <c r="AF81" s="15"/>
      <c r="AG81" s="15"/>
      <c r="AH81" s="15"/>
      <c r="AI81" s="15"/>
      <c r="AJ81" s="15"/>
      <c r="AK81" s="15"/>
      <c r="AL81" s="15"/>
      <c r="AM81" s="15"/>
      <c r="AN81" s="15"/>
      <c r="AO81" s="15"/>
      <c r="AP81" s="15"/>
      <c r="AQ81" s="15"/>
      <c r="AR81" s="15"/>
      <c r="AS81" s="15"/>
      <c r="AT81" s="15"/>
      <c r="AU81" s="15"/>
      <c r="AV81" s="15"/>
      <c r="AW81" s="15"/>
      <c r="AX81" s="15"/>
      <c r="AY81" s="15"/>
      <c r="BI81" s="8"/>
      <c r="BJ81" s="1" t="s">
        <v>13</v>
      </c>
      <c r="BL81" s="1">
        <v>10</v>
      </c>
      <c r="BM81" s="1" t="str">
        <v>Lou</v>
      </c>
      <c r="BN81" s="1" t="str">
        <v>5.553</v>
      </c>
      <c r="BO81" s="1">
        <v>76</v>
      </c>
      <c r="BV81" s="1" t="str">
        <v>Lou</v>
      </c>
      <c r="BW81" s="1">
        <v>5.5526315789473681</v>
      </c>
    </row>
    <row r="82" spans="1:75" x14ac:dyDescent="0.3">
      <c r="A82" s="15" t="s">
        <v>7</v>
      </c>
      <c r="B82" s="15">
        <v>68</v>
      </c>
      <c r="C82" s="15">
        <v>50</v>
      </c>
      <c r="D82" s="15">
        <v>8</v>
      </c>
      <c r="E82" s="15">
        <v>39</v>
      </c>
      <c r="F82" s="15">
        <v>8</v>
      </c>
      <c r="G82" s="15">
        <v>64</v>
      </c>
      <c r="H82" s="15">
        <v>8</v>
      </c>
      <c r="I82" s="15"/>
      <c r="J82" s="15"/>
      <c r="K82" s="15"/>
      <c r="L82" s="15"/>
      <c r="M82" s="15"/>
      <c r="N82" s="15"/>
      <c r="O82" s="15"/>
      <c r="P82" s="15"/>
      <c r="Q82" s="15"/>
      <c r="R82" s="15"/>
      <c r="S82" s="15">
        <v>6</v>
      </c>
      <c r="T82" s="15">
        <v>8</v>
      </c>
      <c r="U82" s="15"/>
      <c r="V82" s="15"/>
      <c r="W82" s="15"/>
      <c r="X82" s="15"/>
      <c r="Y82" s="15"/>
      <c r="Z82" s="15"/>
      <c r="AA82" s="15"/>
      <c r="AB82" s="15"/>
      <c r="AC82" s="15"/>
      <c r="AD82" s="15"/>
      <c r="AE82" s="15"/>
      <c r="AF82" s="15"/>
      <c r="AG82" s="15"/>
      <c r="AH82" s="15"/>
      <c r="AI82" s="15"/>
      <c r="AJ82" s="15"/>
      <c r="AK82" s="15"/>
      <c r="AL82" s="15"/>
      <c r="AM82" s="15"/>
      <c r="AN82" s="15"/>
      <c r="AO82" s="15"/>
      <c r="AP82" s="15"/>
      <c r="AQ82" s="15"/>
      <c r="AR82" s="15"/>
      <c r="AS82" s="15"/>
      <c r="AT82" s="15"/>
      <c r="AU82" s="15"/>
      <c r="AV82" s="15"/>
      <c r="AW82" s="15"/>
      <c r="AX82" s="15"/>
      <c r="AY82" s="15"/>
      <c r="BI82" s="9"/>
      <c r="BJ82" s="1" t="s">
        <v>10</v>
      </c>
      <c r="BL82" s="1">
        <v>11</v>
      </c>
      <c r="BM82" s="1" t="str">
        <v>Achille</v>
      </c>
      <c r="BN82" s="1" t="str">
        <v>5.347</v>
      </c>
      <c r="BO82" s="1">
        <v>824</v>
      </c>
      <c r="BV82" s="1" t="str">
        <v>Achille</v>
      </c>
      <c r="BW82" s="1">
        <v>5.3470873786407767</v>
      </c>
    </row>
    <row r="83" spans="1:75" x14ac:dyDescent="0.3">
      <c r="A83" s="15" t="s">
        <v>7</v>
      </c>
      <c r="B83" s="15">
        <v>67</v>
      </c>
      <c r="C83" s="15">
        <v>19</v>
      </c>
      <c r="D83" s="15">
        <v>3</v>
      </c>
      <c r="E83" s="15"/>
      <c r="F83" s="15"/>
      <c r="G83" s="15">
        <v>8</v>
      </c>
      <c r="H83" s="15">
        <v>3</v>
      </c>
      <c r="I83" s="15">
        <v>19</v>
      </c>
      <c r="J83" s="15">
        <v>3</v>
      </c>
      <c r="K83" s="15"/>
      <c r="L83" s="15"/>
      <c r="M83" s="15"/>
      <c r="N83" s="15"/>
      <c r="O83" s="15"/>
      <c r="P83" s="15"/>
      <c r="Q83" s="15"/>
      <c r="R83" s="15"/>
      <c r="S83" s="15"/>
      <c r="T83" s="15"/>
      <c r="U83" s="15"/>
      <c r="V83" s="15"/>
      <c r="W83" s="15"/>
      <c r="X83" s="15"/>
      <c r="Y83" s="15"/>
      <c r="Z83" s="15"/>
      <c r="AA83" s="15"/>
      <c r="AB83" s="15"/>
      <c r="AC83" s="15"/>
      <c r="AD83" s="15"/>
      <c r="AE83" s="15"/>
      <c r="AF83" s="15"/>
      <c r="AG83" s="15"/>
      <c r="AH83" s="15"/>
      <c r="AI83" s="15"/>
      <c r="AJ83" s="15"/>
      <c r="AK83" s="15"/>
      <c r="AL83" s="15"/>
      <c r="AM83" s="15"/>
      <c r="AN83" s="15"/>
      <c r="AO83" s="15"/>
      <c r="AP83" s="15"/>
      <c r="AQ83" s="15"/>
      <c r="AR83" s="15"/>
      <c r="AS83" s="15">
        <v>8</v>
      </c>
      <c r="AT83" s="15">
        <v>3</v>
      </c>
      <c r="AU83" s="15"/>
      <c r="AV83" s="15"/>
      <c r="AW83" s="15"/>
      <c r="AX83" s="15"/>
      <c r="AY83" s="15"/>
      <c r="BL83" s="1">
        <v>12</v>
      </c>
      <c r="BM83" s="1" t="str">
        <v>Quentin</v>
      </c>
      <c r="BN83" s="1" t="str">
        <v>5.015</v>
      </c>
      <c r="BO83" s="1">
        <v>67</v>
      </c>
      <c r="BV83" s="1" t="str">
        <v>Quentin</v>
      </c>
      <c r="BW83" s="1">
        <v>5.0149253731343286</v>
      </c>
    </row>
    <row r="84" spans="1:75" x14ac:dyDescent="0.3">
      <c r="A84" s="15" t="s">
        <v>7</v>
      </c>
      <c r="B84" s="15">
        <v>66</v>
      </c>
      <c r="C84" s="15">
        <v>13</v>
      </c>
      <c r="D84" s="15">
        <v>3</v>
      </c>
      <c r="E84" s="15"/>
      <c r="F84" s="15"/>
      <c r="G84" s="15">
        <v>54</v>
      </c>
      <c r="H84" s="15">
        <v>3</v>
      </c>
      <c r="I84" s="15">
        <v>0</v>
      </c>
      <c r="J84" s="15">
        <v>1</v>
      </c>
      <c r="K84" s="15"/>
      <c r="L84" s="15"/>
      <c r="M84" s="15">
        <v>17</v>
      </c>
      <c r="N84" s="15">
        <v>3</v>
      </c>
      <c r="O84" s="15"/>
      <c r="P84" s="15"/>
      <c r="Q84" s="15"/>
      <c r="R84" s="15"/>
      <c r="S84" s="15"/>
      <c r="T84" s="15"/>
      <c r="U84" s="15"/>
      <c r="V84" s="15"/>
      <c r="W84" s="15"/>
      <c r="X84" s="15"/>
      <c r="Y84" s="15"/>
      <c r="Z84" s="15"/>
      <c r="AA84" s="15"/>
      <c r="AB84" s="15"/>
      <c r="AC84" s="15"/>
      <c r="AD84" s="15"/>
      <c r="AE84" s="15">
        <v>0</v>
      </c>
      <c r="AF84" s="15">
        <v>2</v>
      </c>
      <c r="AG84" s="15"/>
      <c r="AH84" s="15"/>
      <c r="AI84" s="15"/>
      <c r="AJ84" s="15"/>
      <c r="AK84" s="15"/>
      <c r="AL84" s="15"/>
      <c r="AM84" s="15"/>
      <c r="AN84" s="15"/>
      <c r="AO84" s="15"/>
      <c r="AP84" s="15"/>
      <c r="AQ84" s="15"/>
      <c r="AR84" s="15"/>
      <c r="AS84" s="15"/>
      <c r="AT84" s="15"/>
      <c r="AU84" s="15"/>
      <c r="AV84" s="15"/>
      <c r="AW84" s="15"/>
      <c r="AX84" s="15"/>
      <c r="AY84" s="15"/>
      <c r="BI84" s="1" t="s">
        <v>1</v>
      </c>
      <c r="BJ84" s="1">
        <f>AVERAGE(C1:BF1)</f>
        <v>5.1165482575065964</v>
      </c>
      <c r="BL84" s="1">
        <v>13</v>
      </c>
      <c r="BM84" s="1" t="str">
        <v>Paul</v>
      </c>
      <c r="BN84" s="1" t="str">
        <v>4.813</v>
      </c>
      <c r="BO84" s="1">
        <v>32</v>
      </c>
      <c r="BV84" s="1" t="str">
        <v>Paul</v>
      </c>
      <c r="BW84" s="1">
        <v>4.8125</v>
      </c>
    </row>
    <row r="85" spans="1:75" x14ac:dyDescent="0.3">
      <c r="A85" s="15" t="s">
        <v>7</v>
      </c>
      <c r="B85" s="15">
        <v>65</v>
      </c>
      <c r="C85" s="15"/>
      <c r="D85" s="15"/>
      <c r="E85" s="15"/>
      <c r="F85" s="15"/>
      <c r="G85" s="15">
        <v>70</v>
      </c>
      <c r="H85" s="15">
        <v>8</v>
      </c>
      <c r="I85" s="15">
        <v>-9</v>
      </c>
      <c r="J85" s="15">
        <v>8</v>
      </c>
      <c r="K85" s="15"/>
      <c r="L85" s="15"/>
      <c r="M85" s="15"/>
      <c r="N85" s="15"/>
      <c r="O85" s="15"/>
      <c r="P85" s="15"/>
      <c r="Q85" s="15"/>
      <c r="R85" s="15"/>
      <c r="S85" s="15"/>
      <c r="T85" s="15"/>
      <c r="U85" s="15">
        <v>81</v>
      </c>
      <c r="V85" s="15">
        <v>8</v>
      </c>
      <c r="W85" s="15"/>
      <c r="X85" s="15"/>
      <c r="Y85" s="15"/>
      <c r="Z85" s="15"/>
      <c r="AA85" s="15"/>
      <c r="AB85" s="15"/>
      <c r="AC85" s="15"/>
      <c r="AD85" s="15"/>
      <c r="AE85" s="15"/>
      <c r="AF85" s="15"/>
      <c r="AG85" s="15"/>
      <c r="AH85" s="15"/>
      <c r="AI85" s="15"/>
      <c r="AJ85" s="15"/>
      <c r="AK85" s="15"/>
      <c r="AL85" s="15"/>
      <c r="AM85" s="15"/>
      <c r="AN85" s="15"/>
      <c r="AO85" s="15"/>
      <c r="AP85" s="15"/>
      <c r="AQ85" s="15"/>
      <c r="AR85" s="15"/>
      <c r="AS85" s="15">
        <v>0</v>
      </c>
      <c r="AT85" s="15">
        <v>8</v>
      </c>
      <c r="AU85" s="15"/>
      <c r="AV85" s="15"/>
      <c r="AW85" s="15"/>
      <c r="AX85" s="15"/>
      <c r="AY85" s="15"/>
      <c r="BL85" s="1">
        <v>14</v>
      </c>
      <c r="BM85" s="1" t="str">
        <v>Jules</v>
      </c>
      <c r="BN85" s="1" t="str">
        <v>4.741</v>
      </c>
      <c r="BO85" s="1">
        <v>139</v>
      </c>
      <c r="BV85" s="1" t="str">
        <v>Jules</v>
      </c>
      <c r="BW85" s="1">
        <v>4.7410071942446042</v>
      </c>
    </row>
    <row r="86" spans="1:75" x14ac:dyDescent="0.3">
      <c r="A86" s="15" t="s">
        <v>23</v>
      </c>
      <c r="B86" s="15">
        <v>64</v>
      </c>
      <c r="C86" s="15">
        <v>38</v>
      </c>
      <c r="D86" s="15">
        <v>7</v>
      </c>
      <c r="E86" s="15">
        <v>96</v>
      </c>
      <c r="F86" s="15">
        <v>8</v>
      </c>
      <c r="G86" s="15">
        <v>38</v>
      </c>
      <c r="H86" s="15">
        <v>8</v>
      </c>
      <c r="I86" s="15">
        <v>25</v>
      </c>
      <c r="J86" s="15">
        <v>8</v>
      </c>
      <c r="K86" s="15"/>
      <c r="L86" s="15"/>
      <c r="M86" s="15"/>
      <c r="N86" s="15"/>
      <c r="O86" s="15"/>
      <c r="P86" s="15"/>
      <c r="Q86" s="15">
        <v>25</v>
      </c>
      <c r="R86" s="15">
        <v>5</v>
      </c>
      <c r="S86" s="15"/>
      <c r="T86" s="15"/>
      <c r="U86" s="15"/>
      <c r="V86" s="15"/>
      <c r="W86" s="15"/>
      <c r="X86" s="15"/>
      <c r="Y86" s="15"/>
      <c r="Z86" s="15"/>
      <c r="AA86" s="15"/>
      <c r="AB86" s="15"/>
      <c r="AC86" s="15"/>
      <c r="AD86" s="15"/>
      <c r="AE86" s="15"/>
      <c r="AF86" s="15"/>
      <c r="AG86" s="15"/>
      <c r="AH86" s="15"/>
      <c r="AI86" s="15"/>
      <c r="AJ86" s="15"/>
      <c r="AK86" s="15"/>
      <c r="AL86" s="15"/>
      <c r="AM86" s="15"/>
      <c r="AN86" s="15"/>
      <c r="AO86" s="15"/>
      <c r="AP86" s="15"/>
      <c r="AQ86" s="15"/>
      <c r="AR86" s="15"/>
      <c r="AS86" s="15"/>
      <c r="AT86" s="15"/>
      <c r="AU86" s="15"/>
      <c r="AV86" s="15"/>
      <c r="AW86" s="15"/>
      <c r="AX86" s="15"/>
      <c r="AY86" s="15"/>
      <c r="BL86" s="1">
        <v>15</v>
      </c>
      <c r="BM86" s="1" t="str">
        <v>Marie</v>
      </c>
      <c r="BN86" s="1" t="str">
        <v>4.219</v>
      </c>
      <c r="BO86" s="1">
        <v>208</v>
      </c>
      <c r="BV86" s="1" t="str">
        <v>Marie</v>
      </c>
      <c r="BW86" s="1">
        <v>4.21875</v>
      </c>
    </row>
    <row r="87" spans="1:75" x14ac:dyDescent="0.3">
      <c r="A87" s="15" t="s">
        <v>23</v>
      </c>
      <c r="B87" s="15">
        <v>63</v>
      </c>
      <c r="C87" s="15">
        <v>13</v>
      </c>
      <c r="D87" s="15">
        <v>1</v>
      </c>
      <c r="E87" s="15"/>
      <c r="F87" s="15"/>
      <c r="G87" s="15"/>
      <c r="H87" s="15"/>
      <c r="I87" s="15">
        <v>0</v>
      </c>
      <c r="J87" s="15">
        <v>1</v>
      </c>
      <c r="K87" s="15"/>
      <c r="L87" s="15"/>
      <c r="M87" s="15"/>
      <c r="N87" s="15"/>
      <c r="O87" s="15"/>
      <c r="P87" s="15"/>
      <c r="Q87" s="15">
        <v>13</v>
      </c>
      <c r="R87" s="15">
        <v>1</v>
      </c>
      <c r="S87" s="15"/>
      <c r="T87" s="15"/>
      <c r="U87" s="15"/>
      <c r="V87" s="15"/>
      <c r="W87" s="15">
        <v>0</v>
      </c>
      <c r="X87" s="15">
        <v>1</v>
      </c>
      <c r="Y87" s="15"/>
      <c r="Z87" s="15"/>
      <c r="AA87" s="15"/>
      <c r="AB87" s="15"/>
      <c r="AC87" s="15"/>
      <c r="AD87" s="15"/>
      <c r="AE87" s="15"/>
      <c r="AF87" s="15"/>
      <c r="AG87" s="15"/>
      <c r="AH87" s="15"/>
      <c r="AI87" s="15"/>
      <c r="AJ87" s="15"/>
      <c r="AK87" s="15"/>
      <c r="AL87" s="15"/>
      <c r="AM87" s="15"/>
      <c r="AN87" s="15"/>
      <c r="AO87" s="15"/>
      <c r="AP87" s="15"/>
      <c r="AQ87" s="15"/>
      <c r="AR87" s="15"/>
      <c r="AS87" s="15"/>
      <c r="AT87" s="15"/>
      <c r="AU87" s="15"/>
      <c r="AV87" s="15"/>
      <c r="AW87" s="15"/>
      <c r="AX87" s="15"/>
      <c r="AY87" s="15"/>
      <c r="BJ87" s="1" t="s">
        <v>15</v>
      </c>
      <c r="BL87" s="1">
        <v>16</v>
      </c>
      <c r="BM87" s="1" t="str">
        <v>Luca</v>
      </c>
      <c r="BN87" s="1" t="str">
        <v>3.011</v>
      </c>
      <c r="BO87" s="1">
        <v>178</v>
      </c>
      <c r="BV87" s="1" t="str">
        <v>Luca</v>
      </c>
      <c r="BW87" s="1">
        <v>3.0112359550561796</v>
      </c>
    </row>
    <row r="88" spans="1:75" x14ac:dyDescent="0.3">
      <c r="A88" s="15" t="s">
        <v>7</v>
      </c>
      <c r="B88" s="15">
        <v>62</v>
      </c>
      <c r="C88" s="15">
        <v>118</v>
      </c>
      <c r="D88" s="15">
        <v>24</v>
      </c>
      <c r="E88" s="15">
        <v>103</v>
      </c>
      <c r="F88" s="15">
        <v>24</v>
      </c>
      <c r="G88" s="15">
        <v>102</v>
      </c>
      <c r="H88" s="15">
        <v>24</v>
      </c>
      <c r="I88" s="15">
        <v>0</v>
      </c>
      <c r="J88" s="15">
        <v>4</v>
      </c>
      <c r="K88" s="15"/>
      <c r="L88" s="15"/>
      <c r="M88" s="15"/>
      <c r="N88" s="15"/>
      <c r="O88" s="15">
        <v>225</v>
      </c>
      <c r="P88" s="15">
        <v>23</v>
      </c>
      <c r="Q88" s="15"/>
      <c r="R88" s="15"/>
      <c r="S88" s="15"/>
      <c r="T88" s="15"/>
      <c r="U88" s="15"/>
      <c r="V88" s="15"/>
      <c r="W88" s="15">
        <v>11</v>
      </c>
      <c r="X88" s="15">
        <v>1</v>
      </c>
      <c r="Y88" s="15"/>
      <c r="Z88" s="15"/>
      <c r="AA88" s="15"/>
      <c r="AB88" s="15"/>
      <c r="AC88" s="15"/>
      <c r="AD88" s="15"/>
      <c r="AE88" s="15"/>
      <c r="AF88" s="15"/>
      <c r="AG88" s="15"/>
      <c r="AH88" s="15"/>
      <c r="AI88" s="15"/>
      <c r="AJ88" s="15"/>
      <c r="AK88" s="15"/>
      <c r="AL88" s="15"/>
      <c r="AM88" s="15"/>
      <c r="AN88" s="15"/>
      <c r="AO88" s="15"/>
      <c r="AP88" s="15"/>
      <c r="AQ88" s="15"/>
      <c r="AR88" s="15"/>
      <c r="AS88" s="15"/>
      <c r="AT88" s="15"/>
      <c r="AU88" s="15"/>
      <c r="AV88" s="15"/>
      <c r="AW88" s="15"/>
      <c r="AX88" s="15"/>
      <c r="AY88" s="15"/>
      <c r="BI88" s="11"/>
      <c r="BJ88" s="1" t="s">
        <v>38</v>
      </c>
      <c r="BL88" s="1">
        <v>17</v>
      </c>
      <c r="BM88" s="1" t="str">
        <v>Fantinne</v>
      </c>
      <c r="BN88" s="1" t="str">
        <v>2.961</v>
      </c>
      <c r="BO88" s="1">
        <v>51</v>
      </c>
      <c r="BV88" s="1" t="str">
        <v>Fantinne</v>
      </c>
      <c r="BW88" s="1">
        <v>2.9607843137254903</v>
      </c>
    </row>
    <row r="89" spans="1:75" x14ac:dyDescent="0.3">
      <c r="A89" s="15" t="s">
        <v>7</v>
      </c>
      <c r="B89" s="15">
        <v>61</v>
      </c>
      <c r="C89" s="15"/>
      <c r="D89" s="15"/>
      <c r="E89" s="15">
        <v>11</v>
      </c>
      <c r="F89" s="15">
        <v>4</v>
      </c>
      <c r="G89" s="15"/>
      <c r="H89" s="15"/>
      <c r="I89" s="15"/>
      <c r="J89" s="15"/>
      <c r="K89" s="15"/>
      <c r="L89" s="15"/>
      <c r="M89" s="15">
        <v>46</v>
      </c>
      <c r="N89" s="15">
        <v>4</v>
      </c>
      <c r="O89" s="15">
        <v>45</v>
      </c>
      <c r="P89" s="15">
        <v>4</v>
      </c>
      <c r="Q89" s="15">
        <v>0</v>
      </c>
      <c r="R89" s="15">
        <v>4</v>
      </c>
      <c r="S89" s="15"/>
      <c r="T89" s="15"/>
      <c r="U89" s="15"/>
      <c r="V89" s="15"/>
      <c r="W89" s="15"/>
      <c r="X89" s="15"/>
      <c r="Y89" s="15"/>
      <c r="Z89" s="15"/>
      <c r="AA89" s="15"/>
      <c r="AB89" s="15"/>
      <c r="AC89" s="15"/>
      <c r="AD89" s="15"/>
      <c r="AE89" s="15"/>
      <c r="AF89" s="15"/>
      <c r="AG89" s="15"/>
      <c r="AH89" s="15"/>
      <c r="AI89" s="15"/>
      <c r="AJ89" s="15"/>
      <c r="AK89" s="15"/>
      <c r="AL89" s="15"/>
      <c r="AM89" s="15"/>
      <c r="AN89" s="15"/>
      <c r="AO89" s="15"/>
      <c r="AP89" s="15"/>
      <c r="AQ89" s="15"/>
      <c r="AR89" s="15"/>
      <c r="AS89" s="15"/>
      <c r="AT89" s="15"/>
      <c r="AU89" s="15"/>
      <c r="AV89" s="15"/>
      <c r="AW89" s="15"/>
      <c r="AX89" s="15"/>
      <c r="AY89" s="15"/>
      <c r="BI89" s="14"/>
      <c r="BJ89" s="1" t="s">
        <v>17</v>
      </c>
      <c r="BL89" s="1">
        <v>18</v>
      </c>
      <c r="BM89" s="1" t="str">
        <v>Joey</v>
      </c>
      <c r="BN89" s="1" t="str">
        <v>2.933</v>
      </c>
      <c r="BO89" s="1">
        <v>60</v>
      </c>
      <c r="BV89" s="1" t="str">
        <v>Joey</v>
      </c>
      <c r="BW89" s="1">
        <v>2.9333333333333331</v>
      </c>
    </row>
    <row r="90" spans="1:75" x14ac:dyDescent="0.3">
      <c r="A90" s="15" t="s">
        <v>7</v>
      </c>
      <c r="B90" s="15">
        <v>60</v>
      </c>
      <c r="C90" s="15">
        <v>106</v>
      </c>
      <c r="D90" s="15">
        <v>12</v>
      </c>
      <c r="E90" s="15"/>
      <c r="F90" s="15"/>
      <c r="G90" s="15">
        <v>88</v>
      </c>
      <c r="H90" s="15">
        <v>12</v>
      </c>
      <c r="I90" s="15"/>
      <c r="J90" s="15"/>
      <c r="K90" s="15"/>
      <c r="L90" s="15"/>
      <c r="M90" s="15">
        <v>31</v>
      </c>
      <c r="N90" s="15">
        <v>12</v>
      </c>
      <c r="O90" s="15"/>
      <c r="P90" s="15"/>
      <c r="Q90" s="15"/>
      <c r="R90" s="15"/>
      <c r="S90" s="15"/>
      <c r="T90" s="15"/>
      <c r="U90" s="15"/>
      <c r="V90" s="15"/>
      <c r="W90" s="15"/>
      <c r="X90" s="15"/>
      <c r="Y90" s="15"/>
      <c r="Z90" s="15"/>
      <c r="AA90" s="15"/>
      <c r="AB90" s="15"/>
      <c r="AC90" s="15">
        <v>8</v>
      </c>
      <c r="AD90" s="15">
        <v>4</v>
      </c>
      <c r="AE90" s="15"/>
      <c r="AF90" s="15"/>
      <c r="AG90" s="15"/>
      <c r="AH90" s="15"/>
      <c r="AI90" s="15"/>
      <c r="AJ90" s="15"/>
      <c r="AK90" s="15"/>
      <c r="AL90" s="15"/>
      <c r="AM90" s="15"/>
      <c r="AN90" s="15"/>
      <c r="AO90" s="15">
        <v>-1</v>
      </c>
      <c r="AP90" s="15">
        <v>12</v>
      </c>
      <c r="AQ90" s="15"/>
      <c r="AR90" s="15"/>
      <c r="AS90" s="15"/>
      <c r="AT90" s="15"/>
      <c r="AU90" s="15"/>
      <c r="AV90" s="15"/>
      <c r="AW90" s="15"/>
      <c r="AX90" s="15"/>
      <c r="AY90" s="15"/>
      <c r="BI90" s="13"/>
      <c r="BJ90" s="1" t="s">
        <v>18</v>
      </c>
      <c r="BL90" s="1">
        <v>19</v>
      </c>
      <c r="BM90" s="1" t="str">
        <v>Loulou</v>
      </c>
      <c r="BN90" s="1" t="str">
        <v>2.075</v>
      </c>
      <c r="BO90" s="1">
        <v>67</v>
      </c>
      <c r="BV90" s="1" t="str">
        <v>Loulou</v>
      </c>
      <c r="BW90" s="1">
        <v>2.0746268656716418</v>
      </c>
    </row>
    <row r="91" spans="1:75" x14ac:dyDescent="0.3">
      <c r="A91" s="15" t="s">
        <v>7</v>
      </c>
      <c r="B91" s="15">
        <v>59</v>
      </c>
      <c r="C91" s="15"/>
      <c r="D91" s="15"/>
      <c r="E91" s="15">
        <v>129</v>
      </c>
      <c r="F91" s="15">
        <v>10</v>
      </c>
      <c r="G91" s="15"/>
      <c r="H91" s="15"/>
      <c r="I91" s="15">
        <v>17</v>
      </c>
      <c r="J91" s="15">
        <v>10</v>
      </c>
      <c r="K91" s="15">
        <v>-41</v>
      </c>
      <c r="L91" s="15">
        <v>10</v>
      </c>
      <c r="M91" s="15">
        <v>62</v>
      </c>
      <c r="N91" s="15">
        <v>10</v>
      </c>
      <c r="O91" s="15"/>
      <c r="P91" s="15"/>
      <c r="Q91" s="15"/>
      <c r="R91" s="15"/>
      <c r="S91" s="15"/>
      <c r="T91" s="15"/>
      <c r="U91" s="15"/>
      <c r="V91" s="15"/>
      <c r="W91" s="15"/>
      <c r="X91" s="15"/>
      <c r="Y91" s="15"/>
      <c r="Z91" s="15"/>
      <c r="AA91" s="15"/>
      <c r="AB91" s="15"/>
      <c r="AC91" s="15"/>
      <c r="AD91" s="15"/>
      <c r="AE91" s="15"/>
      <c r="AF91" s="15"/>
      <c r="AG91" s="15"/>
      <c r="AH91" s="15"/>
      <c r="AI91" s="15"/>
      <c r="AJ91" s="15"/>
      <c r="AK91" s="15"/>
      <c r="AL91" s="15"/>
      <c r="AM91" s="15"/>
      <c r="AN91" s="15"/>
      <c r="AO91" s="15"/>
      <c r="AP91" s="15"/>
      <c r="AQ91" s="15"/>
      <c r="AR91" s="15"/>
      <c r="AS91" s="15"/>
      <c r="AT91" s="15"/>
      <c r="AU91" s="15"/>
      <c r="AV91" s="15"/>
      <c r="AW91" s="15"/>
      <c r="AX91" s="15"/>
      <c r="AY91" s="15"/>
      <c r="BI91" s="12"/>
      <c r="BJ91" s="1" t="s">
        <v>16</v>
      </c>
      <c r="BV91" s="1" t="str">
        <v>Harrison</v>
      </c>
      <c r="BW91" s="1" t="str">
        <v>/</v>
      </c>
    </row>
    <row r="92" spans="1:75" x14ac:dyDescent="0.3">
      <c r="A92" s="15" t="s">
        <v>7</v>
      </c>
      <c r="B92" s="15">
        <v>58</v>
      </c>
      <c r="C92" s="15"/>
      <c r="D92" s="15"/>
      <c r="E92" s="15">
        <v>49</v>
      </c>
      <c r="F92" s="15">
        <v>14</v>
      </c>
      <c r="G92" s="15">
        <v>60</v>
      </c>
      <c r="H92" s="15">
        <v>14</v>
      </c>
      <c r="I92" s="15">
        <v>94</v>
      </c>
      <c r="J92" s="15">
        <v>14</v>
      </c>
      <c r="K92" s="15"/>
      <c r="L92" s="15"/>
      <c r="M92" s="15"/>
      <c r="N92" s="15"/>
      <c r="O92" s="15"/>
      <c r="P92" s="15"/>
      <c r="Q92" s="15">
        <v>70</v>
      </c>
      <c r="R92" s="15">
        <v>14</v>
      </c>
      <c r="S92" s="15"/>
      <c r="T92" s="15"/>
      <c r="U92" s="15"/>
      <c r="V92" s="15"/>
      <c r="W92" s="15"/>
      <c r="X92" s="15"/>
      <c r="Y92" s="15"/>
      <c r="Z92" s="15"/>
      <c r="AA92" s="15"/>
      <c r="AB92" s="15"/>
      <c r="AC92" s="15"/>
      <c r="AD92" s="15"/>
      <c r="AE92" s="15"/>
      <c r="AF92" s="15"/>
      <c r="AG92" s="15"/>
      <c r="AH92" s="15"/>
      <c r="AI92" s="15"/>
      <c r="AJ92" s="15"/>
      <c r="AK92" s="15"/>
      <c r="AL92" s="15"/>
      <c r="AM92" s="15"/>
      <c r="AN92" s="15"/>
      <c r="AO92" s="15"/>
      <c r="AP92" s="15"/>
      <c r="AQ92" s="15"/>
      <c r="AR92" s="15"/>
      <c r="AS92" s="15"/>
      <c r="AT92" s="15"/>
      <c r="AU92" s="15"/>
      <c r="AV92" s="15"/>
      <c r="AW92" s="15"/>
      <c r="AX92" s="15"/>
      <c r="AY92" s="15"/>
      <c r="BV92" s="1" t="str">
        <v>Pascale</v>
      </c>
      <c r="BW92" s="1" t="str">
        <v>/</v>
      </c>
    </row>
    <row r="93" spans="1:75" x14ac:dyDescent="0.3">
      <c r="A93" s="15" t="s">
        <v>7</v>
      </c>
      <c r="B93" s="15">
        <v>57</v>
      </c>
      <c r="C93" s="15"/>
      <c r="D93" s="15"/>
      <c r="E93" s="15">
        <v>67</v>
      </c>
      <c r="F93" s="15">
        <v>4</v>
      </c>
      <c r="G93" s="15">
        <v>36</v>
      </c>
      <c r="H93" s="15">
        <v>4</v>
      </c>
      <c r="I93" s="15">
        <v>16</v>
      </c>
      <c r="J93" s="15">
        <v>2</v>
      </c>
      <c r="K93" s="15"/>
      <c r="L93" s="15"/>
      <c r="M93" s="15">
        <v>-24</v>
      </c>
      <c r="N93" s="15">
        <v>3</v>
      </c>
      <c r="O93" s="15"/>
      <c r="P93" s="15"/>
      <c r="Q93" s="15">
        <v>31</v>
      </c>
      <c r="R93" s="15">
        <v>3</v>
      </c>
      <c r="S93" s="15"/>
      <c r="T93" s="15"/>
      <c r="U93" s="15"/>
      <c r="V93" s="15"/>
      <c r="W93" s="15"/>
      <c r="X93" s="15"/>
      <c r="Y93" s="15"/>
      <c r="Z93" s="15"/>
      <c r="AA93" s="15"/>
      <c r="AB93" s="15"/>
      <c r="AC93" s="15"/>
      <c r="AD93" s="15"/>
      <c r="AE93" s="15"/>
      <c r="AF93" s="15"/>
      <c r="AG93" s="15"/>
      <c r="AH93" s="15"/>
      <c r="AI93" s="15"/>
      <c r="AJ93" s="15"/>
      <c r="AK93" s="15"/>
      <c r="AL93" s="15"/>
      <c r="AM93" s="15"/>
      <c r="AN93" s="15"/>
      <c r="AO93" s="15"/>
      <c r="AP93" s="15"/>
      <c r="AQ93" s="15"/>
      <c r="AR93" s="15"/>
      <c r="AS93" s="15"/>
      <c r="AT93" s="15"/>
      <c r="AU93" s="15"/>
      <c r="AV93" s="15"/>
      <c r="AW93" s="15"/>
      <c r="AX93" s="15"/>
      <c r="AY93" s="15"/>
      <c r="BV93" s="1" t="str">
        <v>Robin</v>
      </c>
      <c r="BW93" s="1" t="str">
        <v>/</v>
      </c>
    </row>
    <row r="94" spans="1:75" x14ac:dyDescent="0.3">
      <c r="A94" s="15" t="s">
        <v>7</v>
      </c>
      <c r="B94" s="15">
        <v>56</v>
      </c>
      <c r="C94" s="15"/>
      <c r="D94" s="15"/>
      <c r="E94" s="15"/>
      <c r="F94" s="15"/>
      <c r="G94" s="15">
        <v>66</v>
      </c>
      <c r="H94" s="15">
        <v>8</v>
      </c>
      <c r="I94" s="15"/>
      <c r="J94" s="15"/>
      <c r="K94" s="15"/>
      <c r="L94" s="15"/>
      <c r="M94" s="15">
        <v>50</v>
      </c>
      <c r="N94" s="15">
        <v>8</v>
      </c>
      <c r="O94" s="15"/>
      <c r="P94" s="15"/>
      <c r="Q94" s="15">
        <v>73</v>
      </c>
      <c r="R94" s="15">
        <v>8</v>
      </c>
      <c r="S94" s="15">
        <v>27</v>
      </c>
      <c r="T94" s="15">
        <v>8</v>
      </c>
      <c r="U94" s="15"/>
      <c r="V94" s="15"/>
      <c r="W94" s="15"/>
      <c r="X94" s="15"/>
      <c r="Y94" s="15"/>
      <c r="Z94" s="15"/>
      <c r="AA94" s="15"/>
      <c r="AB94" s="15"/>
      <c r="AC94" s="15"/>
      <c r="AD94" s="15"/>
      <c r="AE94" s="15"/>
      <c r="AF94" s="15"/>
      <c r="AG94" s="15"/>
      <c r="AH94" s="15"/>
      <c r="AI94" s="15"/>
      <c r="AJ94" s="15"/>
      <c r="AK94" s="15"/>
      <c r="AL94" s="15"/>
      <c r="AM94" s="15">
        <v>21</v>
      </c>
      <c r="AN94" s="15">
        <v>8</v>
      </c>
      <c r="AO94" s="15"/>
      <c r="AP94" s="15"/>
      <c r="AQ94" s="15"/>
      <c r="AR94" s="15"/>
      <c r="AS94" s="15"/>
      <c r="AT94" s="15"/>
      <c r="AU94" s="15"/>
      <c r="AV94" s="15"/>
      <c r="AW94" s="15"/>
      <c r="AX94" s="15"/>
      <c r="AY94" s="15"/>
      <c r="BV94" s="1" t="str">
        <v>Maxime_Go</v>
      </c>
      <c r="BW94" s="1" t="str">
        <v>/</v>
      </c>
    </row>
    <row r="95" spans="1:75" x14ac:dyDescent="0.3">
      <c r="A95" s="15" t="s">
        <v>25</v>
      </c>
      <c r="B95" s="15" t="s">
        <v>26</v>
      </c>
      <c r="C95" s="15"/>
      <c r="D95" s="15"/>
      <c r="E95" s="15"/>
      <c r="F95" s="15"/>
      <c r="G95" s="15"/>
      <c r="H95" s="15"/>
      <c r="I95" s="15"/>
      <c r="J95" s="15"/>
      <c r="K95" s="15"/>
      <c r="L95" s="15"/>
      <c r="M95" s="15"/>
      <c r="N95" s="15"/>
      <c r="O95" s="15"/>
      <c r="P95" s="15"/>
      <c r="Q95" s="15"/>
      <c r="R95" s="15"/>
      <c r="S95" s="15"/>
      <c r="T95" s="15"/>
      <c r="U95" s="15"/>
      <c r="V95" s="15"/>
      <c r="W95" s="15"/>
      <c r="X95" s="15"/>
      <c r="Y95" s="15"/>
      <c r="Z95" s="15"/>
      <c r="AA95" s="15"/>
      <c r="AB95" s="15"/>
      <c r="AC95" s="15"/>
      <c r="AD95" s="15"/>
      <c r="AE95" s="15"/>
      <c r="AF95" s="15"/>
      <c r="AG95" s="15"/>
      <c r="AH95" s="15"/>
      <c r="AI95" s="15"/>
      <c r="AJ95" s="15"/>
      <c r="AK95" s="15"/>
      <c r="AL95" s="15"/>
      <c r="AM95" s="15"/>
      <c r="AN95" s="15"/>
      <c r="AO95" s="15"/>
      <c r="AP95" s="15"/>
      <c r="AQ95" s="15"/>
      <c r="AR95" s="15"/>
      <c r="AS95" s="15"/>
      <c r="AT95" s="15"/>
      <c r="AU95" s="15"/>
      <c r="AV95" s="15"/>
      <c r="AW95" s="15"/>
      <c r="AX95" s="15"/>
      <c r="AY95" s="15"/>
      <c r="BV95" s="1" t="str">
        <v>Maxime_Ca</v>
      </c>
      <c r="BW95" s="1" t="str">
        <v>/</v>
      </c>
    </row>
    <row r="96" spans="1:75" x14ac:dyDescent="0.3">
      <c r="A96" s="15" t="s">
        <v>7</v>
      </c>
      <c r="B96" s="15">
        <v>55</v>
      </c>
      <c r="C96" s="15">
        <v>100</v>
      </c>
      <c r="D96" s="15">
        <v>16</v>
      </c>
      <c r="E96" s="15"/>
      <c r="F96" s="15"/>
      <c r="G96" s="15">
        <v>188</v>
      </c>
      <c r="H96" s="15">
        <v>16</v>
      </c>
      <c r="I96" s="15"/>
      <c r="J96" s="15"/>
      <c r="K96" s="15"/>
      <c r="L96" s="15"/>
      <c r="M96" s="15">
        <v>34</v>
      </c>
      <c r="N96" s="15">
        <v>16</v>
      </c>
      <c r="O96" s="15"/>
      <c r="P96" s="15"/>
      <c r="Q96" s="15"/>
      <c r="R96" s="15"/>
      <c r="S96" s="15"/>
      <c r="T96" s="15"/>
      <c r="U96" s="15"/>
      <c r="V96" s="15"/>
      <c r="W96" s="15"/>
      <c r="X96" s="15"/>
      <c r="Y96" s="15"/>
      <c r="Z96" s="15"/>
      <c r="AA96" s="15"/>
      <c r="AB96" s="15"/>
      <c r="AC96" s="15"/>
      <c r="AD96" s="15"/>
      <c r="AE96" s="15"/>
      <c r="AF96" s="15"/>
      <c r="AG96" s="15"/>
      <c r="AH96" s="15"/>
      <c r="AI96" s="15"/>
      <c r="AJ96" s="15"/>
      <c r="AK96" s="15"/>
      <c r="AL96" s="15"/>
      <c r="AM96" s="15"/>
      <c r="AN96" s="15"/>
      <c r="AO96" s="15"/>
      <c r="AP96" s="15"/>
      <c r="AQ96" s="15">
        <v>60</v>
      </c>
      <c r="AR96" s="15">
        <v>16</v>
      </c>
      <c r="AS96" s="15"/>
      <c r="AT96" s="15"/>
      <c r="AU96" s="15"/>
      <c r="AV96" s="15"/>
      <c r="AW96" s="15"/>
      <c r="AX96" s="15"/>
      <c r="AY96" s="15"/>
      <c r="BV96" s="1" t="str">
        <v>Aurélien</v>
      </c>
      <c r="BW96" s="1" t="str">
        <v>/</v>
      </c>
    </row>
    <row r="97" spans="1:77" x14ac:dyDescent="0.3">
      <c r="A97" s="15" t="s">
        <v>7</v>
      </c>
      <c r="B97" s="15">
        <v>54</v>
      </c>
      <c r="C97" s="15">
        <v>23</v>
      </c>
      <c r="D97" s="15">
        <v>5</v>
      </c>
      <c r="E97" s="15">
        <v>29</v>
      </c>
      <c r="F97" s="15">
        <v>6</v>
      </c>
      <c r="G97" s="15">
        <v>25</v>
      </c>
      <c r="H97" s="15">
        <v>5</v>
      </c>
      <c r="I97" s="15">
        <v>42</v>
      </c>
      <c r="J97" s="15">
        <v>6</v>
      </c>
      <c r="K97" s="15"/>
      <c r="L97" s="15"/>
      <c r="M97" s="15">
        <v>-14</v>
      </c>
      <c r="N97" s="15">
        <v>2</v>
      </c>
      <c r="O97" s="15"/>
      <c r="P97" s="15"/>
      <c r="Q97" s="15"/>
      <c r="R97" s="15"/>
      <c r="S97" s="15"/>
      <c r="T97" s="15"/>
      <c r="U97" s="15"/>
      <c r="V97" s="15"/>
      <c r="W97" s="15"/>
      <c r="X97" s="15"/>
      <c r="Y97" s="15"/>
      <c r="Z97" s="15"/>
      <c r="AA97" s="15"/>
      <c r="AB97" s="15"/>
      <c r="AC97" s="15"/>
      <c r="AD97" s="15"/>
      <c r="AE97" s="15"/>
      <c r="AF97" s="15"/>
      <c r="AG97" s="15"/>
      <c r="AH97" s="15"/>
      <c r="AI97" s="15"/>
      <c r="AJ97" s="15"/>
      <c r="AK97" s="15"/>
      <c r="AL97" s="15"/>
      <c r="AM97" s="15"/>
      <c r="AN97" s="15"/>
      <c r="AO97" s="15"/>
      <c r="AP97" s="15"/>
      <c r="AQ97" s="15"/>
      <c r="AR97" s="15"/>
      <c r="AS97" s="15"/>
      <c r="AT97" s="15"/>
      <c r="AU97" s="15"/>
      <c r="AV97" s="15"/>
      <c r="AW97" s="15"/>
      <c r="AX97" s="15"/>
      <c r="AY97" s="15"/>
      <c r="BV97" s="1" t="str">
        <v>Émile</v>
      </c>
      <c r="BW97" s="1" t="str">
        <v>/</v>
      </c>
    </row>
    <row r="98" spans="1:77" x14ac:dyDescent="0.3">
      <c r="A98" s="15" t="s">
        <v>7</v>
      </c>
      <c r="B98" s="15">
        <v>53</v>
      </c>
      <c r="C98" s="15">
        <v>45</v>
      </c>
      <c r="D98" s="15">
        <v>8</v>
      </c>
      <c r="E98" s="15"/>
      <c r="F98" s="15"/>
      <c r="G98" s="15">
        <v>68</v>
      </c>
      <c r="H98" s="15">
        <v>8</v>
      </c>
      <c r="I98" s="15"/>
      <c r="J98" s="15"/>
      <c r="K98" s="15"/>
      <c r="L98" s="15"/>
      <c r="M98" s="15"/>
      <c r="N98" s="15"/>
      <c r="O98" s="15"/>
      <c r="P98" s="15"/>
      <c r="Q98" s="15"/>
      <c r="R98" s="15"/>
      <c r="S98" s="15"/>
      <c r="T98" s="15"/>
      <c r="U98" s="15"/>
      <c r="V98" s="15"/>
      <c r="W98" s="15"/>
      <c r="X98" s="15"/>
      <c r="Y98" s="15"/>
      <c r="Z98" s="15"/>
      <c r="AA98" s="15">
        <v>-4</v>
      </c>
      <c r="AB98" s="15">
        <v>8</v>
      </c>
      <c r="AC98" s="15"/>
      <c r="AD98" s="15"/>
      <c r="AE98" s="15"/>
      <c r="AF98" s="15"/>
      <c r="AG98" s="15">
        <v>91</v>
      </c>
      <c r="AH98" s="15">
        <v>8</v>
      </c>
      <c r="AI98" s="15"/>
      <c r="AJ98" s="15"/>
      <c r="AK98" s="15"/>
      <c r="AL98" s="15"/>
      <c r="AM98" s="15"/>
      <c r="AN98" s="15"/>
      <c r="AO98" s="15"/>
      <c r="AP98" s="15"/>
      <c r="AQ98" s="15"/>
      <c r="AR98" s="15"/>
      <c r="AS98" s="15"/>
      <c r="AT98" s="15"/>
      <c r="AU98" s="15"/>
      <c r="AV98" s="15"/>
      <c r="AW98" s="15"/>
      <c r="AX98" s="15"/>
      <c r="AY98" s="15"/>
      <c r="BV98" s="1" t="str">
        <v>Amélie</v>
      </c>
      <c r="BW98" s="1" t="str">
        <v>/</v>
      </c>
    </row>
    <row r="99" spans="1:77" x14ac:dyDescent="0.3">
      <c r="A99" s="15" t="s">
        <v>7</v>
      </c>
      <c r="B99" s="15">
        <v>52</v>
      </c>
      <c r="C99" s="15"/>
      <c r="D99" s="15"/>
      <c r="E99" s="15"/>
      <c r="F99" s="15"/>
      <c r="G99" s="15">
        <v>94</v>
      </c>
      <c r="H99" s="15">
        <v>16</v>
      </c>
      <c r="I99" s="15"/>
      <c r="J99" s="15"/>
      <c r="K99" s="15"/>
      <c r="L99" s="15"/>
      <c r="M99" s="15"/>
      <c r="N99" s="15"/>
      <c r="O99" s="15"/>
      <c r="P99" s="15"/>
      <c r="Q99" s="15"/>
      <c r="R99" s="15"/>
      <c r="S99" s="15"/>
      <c r="T99" s="15"/>
      <c r="U99" s="15">
        <v>42</v>
      </c>
      <c r="V99" s="15">
        <v>16</v>
      </c>
      <c r="W99" s="15"/>
      <c r="X99" s="15"/>
      <c r="Y99" s="15"/>
      <c r="Z99" s="15"/>
      <c r="AA99" s="15">
        <v>75</v>
      </c>
      <c r="AB99" s="15">
        <v>16</v>
      </c>
      <c r="AC99" s="15"/>
      <c r="AD99" s="15"/>
      <c r="AE99" s="15"/>
      <c r="AF99" s="15"/>
      <c r="AG99" s="15">
        <v>64</v>
      </c>
      <c r="AH99" s="15">
        <v>16</v>
      </c>
      <c r="AI99" s="15"/>
      <c r="AJ99" s="15"/>
      <c r="AK99" s="15"/>
      <c r="AL99" s="15"/>
      <c r="AM99" s="15"/>
      <c r="AN99" s="15"/>
      <c r="AO99" s="15"/>
      <c r="AP99" s="15"/>
      <c r="AQ99" s="15"/>
      <c r="AR99" s="15"/>
      <c r="AS99" s="15"/>
      <c r="AT99" s="15"/>
      <c r="AU99" s="15"/>
      <c r="AV99" s="15"/>
      <c r="AW99" s="15"/>
      <c r="AX99" s="15"/>
      <c r="AY99" s="15"/>
      <c r="BV99" s="1" t="str">
        <v>Stanislas</v>
      </c>
      <c r="BW99" s="1" t="str">
        <v>/</v>
      </c>
    </row>
    <row r="100" spans="1:77" x14ac:dyDescent="0.3">
      <c r="A100" s="15" t="s">
        <v>7</v>
      </c>
      <c r="B100" s="15">
        <v>51</v>
      </c>
      <c r="C100" s="15">
        <v>37</v>
      </c>
      <c r="D100" s="15">
        <v>14</v>
      </c>
      <c r="E100" s="15"/>
      <c r="F100" s="15"/>
      <c r="G100" s="15">
        <v>105</v>
      </c>
      <c r="H100" s="15">
        <v>14</v>
      </c>
      <c r="I100" s="15"/>
      <c r="J100" s="15"/>
      <c r="K100" s="15"/>
      <c r="L100" s="15"/>
      <c r="M100" s="15">
        <v>84</v>
      </c>
      <c r="N100" s="15">
        <v>14</v>
      </c>
      <c r="O100" s="15"/>
      <c r="P100" s="15"/>
      <c r="Q100" s="15"/>
      <c r="R100" s="15"/>
      <c r="S100" s="15">
        <v>91</v>
      </c>
      <c r="T100" s="15">
        <v>14</v>
      </c>
      <c r="U100" s="15"/>
      <c r="V100" s="15"/>
      <c r="W100" s="15"/>
      <c r="X100" s="15"/>
      <c r="Y100" s="15"/>
      <c r="Z100" s="15"/>
      <c r="AA100" s="15"/>
      <c r="AB100" s="15"/>
      <c r="AC100" s="15"/>
      <c r="AD100" s="15"/>
      <c r="AE100" s="15"/>
      <c r="AF100" s="15"/>
      <c r="AG100" s="15"/>
      <c r="AH100" s="15"/>
      <c r="AI100" s="15"/>
      <c r="AJ100" s="15"/>
      <c r="AK100" s="15"/>
      <c r="AL100" s="15"/>
      <c r="AM100" s="15"/>
      <c r="AN100" s="15"/>
      <c r="AO100" s="15"/>
      <c r="AP100" s="15"/>
      <c r="AQ100" s="15"/>
      <c r="AR100" s="15"/>
      <c r="AS100" s="15"/>
      <c r="AT100" s="15"/>
      <c r="AU100" s="15"/>
      <c r="AV100" s="15"/>
      <c r="AW100" s="15"/>
      <c r="AX100" s="15"/>
      <c r="AY100" s="15"/>
    </row>
    <row r="101" spans="1:77" x14ac:dyDescent="0.3">
      <c r="A101" s="15" t="s">
        <v>7</v>
      </c>
      <c r="B101" s="15">
        <v>50</v>
      </c>
      <c r="C101" s="15">
        <v>32</v>
      </c>
      <c r="D101" s="15">
        <v>7</v>
      </c>
      <c r="E101" s="15"/>
      <c r="F101" s="15"/>
      <c r="G101" s="15">
        <v>50</v>
      </c>
      <c r="H101" s="15">
        <v>7</v>
      </c>
      <c r="I101" s="15"/>
      <c r="J101" s="15"/>
      <c r="K101" s="15"/>
      <c r="L101" s="15"/>
      <c r="M101" s="15">
        <v>40</v>
      </c>
      <c r="N101" s="15">
        <v>7</v>
      </c>
      <c r="O101" s="15"/>
      <c r="P101" s="15"/>
      <c r="Q101" s="15"/>
      <c r="R101" s="15"/>
      <c r="S101" s="15">
        <v>38</v>
      </c>
      <c r="T101" s="15">
        <v>7</v>
      </c>
      <c r="U101" s="15"/>
      <c r="V101" s="15"/>
      <c r="W101" s="15"/>
      <c r="X101" s="15"/>
      <c r="Y101" s="15"/>
      <c r="Z101" s="15"/>
      <c r="AA101" s="15"/>
      <c r="AB101" s="15"/>
      <c r="AC101" s="15"/>
      <c r="AD101" s="15"/>
      <c r="AE101" s="15"/>
      <c r="AF101" s="15"/>
      <c r="AG101" s="15"/>
      <c r="AH101" s="15"/>
      <c r="AI101" s="15"/>
      <c r="AJ101" s="15"/>
      <c r="AK101" s="15"/>
      <c r="AL101" s="15"/>
      <c r="AM101" s="15"/>
      <c r="AN101" s="15"/>
      <c r="AO101" s="15"/>
      <c r="AP101" s="15"/>
      <c r="AQ101" s="15"/>
      <c r="AR101" s="15"/>
      <c r="AS101" s="15"/>
      <c r="AT101" s="15"/>
      <c r="AU101" s="15"/>
      <c r="AV101" s="15"/>
      <c r="AW101" s="15"/>
      <c r="AX101" s="15"/>
      <c r="AY101" s="15"/>
    </row>
    <row r="102" spans="1:77" x14ac:dyDescent="0.3">
      <c r="A102" s="15" t="s">
        <v>7</v>
      </c>
      <c r="B102" s="15">
        <v>49</v>
      </c>
      <c r="C102" s="15">
        <v>47</v>
      </c>
      <c r="D102" s="15">
        <v>9</v>
      </c>
      <c r="E102" s="15"/>
      <c r="F102" s="15"/>
      <c r="G102" s="15">
        <v>94</v>
      </c>
      <c r="H102" s="15">
        <v>9</v>
      </c>
      <c r="I102" s="15"/>
      <c r="J102" s="15"/>
      <c r="K102" s="15">
        <v>13</v>
      </c>
      <c r="L102" s="15">
        <v>2</v>
      </c>
      <c r="M102" s="15">
        <v>47</v>
      </c>
      <c r="N102" s="15">
        <v>7</v>
      </c>
      <c r="O102" s="15"/>
      <c r="P102" s="15"/>
      <c r="Q102" s="15"/>
      <c r="R102" s="15"/>
      <c r="S102" s="15"/>
      <c r="T102" s="15"/>
      <c r="U102" s="15"/>
      <c r="V102" s="15"/>
      <c r="W102" s="15"/>
      <c r="X102" s="15"/>
      <c r="Y102" s="15"/>
      <c r="Z102" s="15"/>
      <c r="AA102" s="15">
        <v>14</v>
      </c>
      <c r="AB102" s="15">
        <v>9</v>
      </c>
      <c r="AC102" s="15"/>
      <c r="AD102" s="15"/>
      <c r="AE102" s="15"/>
      <c r="AF102" s="15"/>
      <c r="AG102" s="15"/>
      <c r="AH102" s="15"/>
      <c r="AI102" s="15"/>
      <c r="AJ102" s="15"/>
      <c r="AK102" s="15"/>
      <c r="AL102" s="15"/>
      <c r="AM102" s="15"/>
      <c r="AN102" s="15"/>
      <c r="AO102" s="15"/>
      <c r="AP102" s="15"/>
      <c r="AQ102" s="15"/>
      <c r="AR102" s="15"/>
      <c r="AS102" s="15"/>
      <c r="AT102" s="15"/>
      <c r="AU102" s="15"/>
      <c r="AV102" s="15"/>
      <c r="AW102" s="15"/>
      <c r="AX102" s="15"/>
      <c r="AY102" s="15"/>
    </row>
    <row r="103" spans="1:77" x14ac:dyDescent="0.3">
      <c r="A103" s="15" t="s">
        <v>7</v>
      </c>
      <c r="B103" s="15">
        <v>48</v>
      </c>
      <c r="C103" s="15">
        <v>90</v>
      </c>
      <c r="D103" s="15">
        <v>7</v>
      </c>
      <c r="E103" s="15"/>
      <c r="F103" s="15"/>
      <c r="G103" s="15">
        <v>48</v>
      </c>
      <c r="H103" s="15">
        <v>7</v>
      </c>
      <c r="I103" s="15"/>
      <c r="J103" s="15"/>
      <c r="K103" s="15"/>
      <c r="L103" s="15"/>
      <c r="M103" s="15">
        <v>1</v>
      </c>
      <c r="N103" s="15">
        <v>7</v>
      </c>
      <c r="O103" s="15"/>
      <c r="P103" s="15"/>
      <c r="Q103" s="15"/>
      <c r="R103" s="15"/>
      <c r="S103" s="15"/>
      <c r="T103" s="15"/>
      <c r="U103" s="15"/>
      <c r="V103" s="15"/>
      <c r="W103" s="15"/>
      <c r="X103" s="15"/>
      <c r="Y103" s="15"/>
      <c r="Z103" s="15"/>
      <c r="AA103" s="15">
        <v>-4</v>
      </c>
      <c r="AB103" s="15">
        <v>7</v>
      </c>
      <c r="AC103" s="15"/>
      <c r="AD103" s="15"/>
      <c r="AE103" s="15"/>
      <c r="AF103" s="15"/>
      <c r="AG103" s="15"/>
      <c r="AH103" s="15"/>
      <c r="AI103" s="15"/>
      <c r="AJ103" s="15"/>
      <c r="AK103" s="15"/>
      <c r="AL103" s="15"/>
      <c r="AM103" s="15"/>
      <c r="AN103" s="15"/>
      <c r="AO103" s="15"/>
      <c r="AP103" s="15"/>
      <c r="AQ103" s="15"/>
      <c r="AR103" s="15"/>
      <c r="AS103" s="15"/>
      <c r="AT103" s="15"/>
      <c r="AU103" s="15"/>
      <c r="AV103" s="15"/>
      <c r="AW103" s="15"/>
      <c r="AX103" s="15"/>
      <c r="AY103" s="15"/>
    </row>
    <row r="104" spans="1:77" x14ac:dyDescent="0.3">
      <c r="A104" s="15" t="s">
        <v>7</v>
      </c>
      <c r="B104" s="15">
        <v>47</v>
      </c>
      <c r="C104" s="15">
        <v>87</v>
      </c>
      <c r="D104" s="15">
        <v>5</v>
      </c>
      <c r="E104" s="15"/>
      <c r="F104" s="15"/>
      <c r="G104" s="15">
        <v>11</v>
      </c>
      <c r="H104" s="15">
        <v>5</v>
      </c>
      <c r="I104" s="15"/>
      <c r="J104" s="15"/>
      <c r="K104" s="15"/>
      <c r="L104" s="15"/>
      <c r="M104" s="15"/>
      <c r="N104" s="15"/>
      <c r="O104" s="15"/>
      <c r="P104" s="15"/>
      <c r="Q104" s="15"/>
      <c r="R104" s="15"/>
      <c r="S104" s="15"/>
      <c r="T104" s="15"/>
      <c r="U104" s="15">
        <v>21</v>
      </c>
      <c r="V104" s="15">
        <v>5</v>
      </c>
      <c r="W104" s="15"/>
      <c r="X104" s="15"/>
      <c r="Y104" s="15"/>
      <c r="Z104" s="15"/>
      <c r="AA104" s="15"/>
      <c r="AB104" s="15"/>
      <c r="AC104" s="15"/>
      <c r="AD104" s="15"/>
      <c r="AE104" s="15"/>
      <c r="AF104" s="15"/>
      <c r="AG104" s="15">
        <v>21</v>
      </c>
      <c r="AH104" s="15">
        <v>5</v>
      </c>
      <c r="AI104" s="15"/>
      <c r="AJ104" s="15"/>
      <c r="AK104" s="15"/>
      <c r="AL104" s="15"/>
      <c r="AM104" s="15"/>
      <c r="AN104" s="15"/>
      <c r="AO104" s="15"/>
      <c r="AP104" s="15"/>
      <c r="AQ104" s="15"/>
      <c r="AR104" s="15"/>
      <c r="AS104" s="15"/>
      <c r="AT104" s="15"/>
      <c r="AU104" s="15"/>
      <c r="AV104" s="15"/>
      <c r="AW104" s="15"/>
      <c r="AX104" s="15"/>
      <c r="AY104" s="15"/>
      <c r="BV104" s="1" cm="1">
        <f t="array" ref="BV104:BY122">_xlfn.LET(
  _xlpm.cols_impairs, _xlfn.SEQUENCE(1,COLUMNS(C1:BF1)/2,1,2),
  _xlpm.cols_pairs,   _xlfn.SEQUENCE(1,COLUMNS(C2:BF2)/2,2,2),
  _xlpm.noms,     TRANSPOSE(INDEX(C9:BF9,,_xlpm.cols_impairs)),
  _xlpm.moy,      TRANSPOSE(INDEX(C1:BF1,,_xlpm.cols_impairs)),
  _xlpm.parties,  TRANSPOSE(INDEX(C2:BF2,,_xlpm.cols_pairs)),
  _xlpm.ok, ISNUMBER(_xlpm.moy),
  _xlpm.nomsF,    _xlfn._xlws.FILTER(_xlpm.noms, _xlpm.ok),
  _xlpm.moyF,     _xlfn._xlws.FILTER(_xlpm.moy, _xlpm.ok),
  _xlpm.partF,    _xlfn._xlws.FILTER(_xlpm.parties, _xlpm.ok),
  _xlpm.T, _xlfn._xlws.SORT(CHOOSE({1,2,3}, _xlpm.nomsF, _xlpm.moyF, _xlpm.partF), 2, -1),
  CHOOSE({1,2,3,4},
          _xlfn.SEQUENCE(ROWS(_xlpm.T)),
          INDEX(_xlpm.T,,1),
          ROUND(INDEX(_xlpm.T,,2), 3),
          INDEX(_xlpm.T,,3))
)</f>
        <v>1</v>
      </c>
      <c r="BW104" s="1" t="str">
        <v>Gauthier</v>
      </c>
      <c r="BX104" s="1">
        <v>7.391</v>
      </c>
      <c r="BY104" s="1">
        <v>69</v>
      </c>
    </row>
    <row r="105" spans="1:77" x14ac:dyDescent="0.3">
      <c r="A105" s="15" t="s">
        <v>7</v>
      </c>
      <c r="B105" s="15">
        <v>46</v>
      </c>
      <c r="C105" s="15">
        <v>29</v>
      </c>
      <c r="D105" s="15">
        <v>12</v>
      </c>
      <c r="E105" s="15"/>
      <c r="F105" s="15"/>
      <c r="G105" s="15">
        <v>78</v>
      </c>
      <c r="H105" s="15">
        <v>13</v>
      </c>
      <c r="I105" s="15"/>
      <c r="J105" s="15"/>
      <c r="K105" s="15">
        <v>93</v>
      </c>
      <c r="L105" s="15">
        <v>12</v>
      </c>
      <c r="M105" s="15">
        <v>32</v>
      </c>
      <c r="N105" s="15">
        <v>11</v>
      </c>
      <c r="O105" s="15"/>
      <c r="P105" s="15"/>
      <c r="Q105" s="15"/>
      <c r="R105" s="15"/>
      <c r="S105" s="15">
        <v>119</v>
      </c>
      <c r="T105" s="15">
        <v>12</v>
      </c>
      <c r="U105" s="15"/>
      <c r="V105" s="15"/>
      <c r="W105" s="15"/>
      <c r="X105" s="15"/>
      <c r="Y105" s="15"/>
      <c r="Z105" s="15"/>
      <c r="AA105" s="15"/>
      <c r="AB105" s="15"/>
      <c r="AC105" s="15"/>
      <c r="AD105" s="15"/>
      <c r="AE105" s="15"/>
      <c r="AF105" s="15"/>
      <c r="AG105" s="15"/>
      <c r="AH105" s="15"/>
      <c r="AI105" s="15"/>
      <c r="AJ105" s="15"/>
      <c r="AK105" s="15"/>
      <c r="AL105" s="15"/>
      <c r="AM105" s="15"/>
      <c r="AN105" s="15"/>
      <c r="AO105" s="15"/>
      <c r="AP105" s="15"/>
      <c r="AQ105" s="15"/>
      <c r="AR105" s="15"/>
      <c r="AS105" s="15"/>
      <c r="AT105" s="15"/>
      <c r="AU105" s="15"/>
      <c r="AV105" s="15"/>
      <c r="AW105" s="15"/>
      <c r="AX105" s="15"/>
      <c r="AY105" s="15"/>
      <c r="BV105" s="1">
        <v>2</v>
      </c>
      <c r="BW105" s="1" t="str">
        <v>Boris</v>
      </c>
      <c r="BX105" s="1">
        <v>7.2629999999999999</v>
      </c>
      <c r="BY105" s="1">
        <v>1015</v>
      </c>
    </row>
    <row r="106" spans="1:77" x14ac:dyDescent="0.3">
      <c r="A106" s="15" t="s">
        <v>7</v>
      </c>
      <c r="B106" s="15">
        <v>45</v>
      </c>
      <c r="C106" s="15">
        <v>102</v>
      </c>
      <c r="D106" s="15">
        <v>16</v>
      </c>
      <c r="E106" s="15"/>
      <c r="F106" s="15"/>
      <c r="G106" s="15">
        <v>138</v>
      </c>
      <c r="H106" s="15">
        <v>16</v>
      </c>
      <c r="I106" s="15"/>
      <c r="J106" s="15"/>
      <c r="K106" s="15">
        <v>51</v>
      </c>
      <c r="L106" s="15">
        <v>8</v>
      </c>
      <c r="M106" s="15">
        <v>5</v>
      </c>
      <c r="N106" s="15">
        <v>8</v>
      </c>
      <c r="O106" s="15"/>
      <c r="P106" s="15"/>
      <c r="Q106" s="15"/>
      <c r="R106" s="15"/>
      <c r="S106" s="15">
        <v>116</v>
      </c>
      <c r="T106" s="15">
        <v>16</v>
      </c>
      <c r="U106" s="15"/>
      <c r="V106" s="15"/>
      <c r="W106" s="15"/>
      <c r="X106" s="15"/>
      <c r="Y106" s="15"/>
      <c r="Z106" s="15"/>
      <c r="AA106" s="15"/>
      <c r="AB106" s="15"/>
      <c r="AC106" s="15"/>
      <c r="AD106" s="15"/>
      <c r="AE106" s="15"/>
      <c r="AF106" s="15"/>
      <c r="AG106" s="15"/>
      <c r="AH106" s="15"/>
      <c r="AI106" s="15"/>
      <c r="AJ106" s="15"/>
      <c r="AK106" s="15"/>
      <c r="AL106" s="15"/>
      <c r="AM106" s="15"/>
      <c r="AN106" s="15"/>
      <c r="AO106" s="15"/>
      <c r="AP106" s="15"/>
      <c r="AQ106" s="15"/>
      <c r="AR106" s="15"/>
      <c r="AS106" s="15"/>
      <c r="AT106" s="15"/>
      <c r="AU106" s="15"/>
      <c r="AV106" s="15"/>
      <c r="AW106" s="15"/>
      <c r="AX106" s="15"/>
      <c r="AY106" s="15"/>
      <c r="BV106" s="1">
        <v>3</v>
      </c>
      <c r="BW106" s="1" t="str">
        <v>Célian</v>
      </c>
      <c r="BX106" s="1">
        <v>6.2359999999999998</v>
      </c>
      <c r="BY106" s="1">
        <v>246</v>
      </c>
    </row>
    <row r="107" spans="1:77" x14ac:dyDescent="0.3">
      <c r="A107" s="15" t="s">
        <v>7</v>
      </c>
      <c r="B107" s="15">
        <v>44</v>
      </c>
      <c r="C107" s="15">
        <v>104</v>
      </c>
      <c r="D107" s="15">
        <v>20</v>
      </c>
      <c r="E107" s="15">
        <v>119</v>
      </c>
      <c r="F107" s="15">
        <v>20</v>
      </c>
      <c r="G107" s="15">
        <v>128</v>
      </c>
      <c r="H107" s="15">
        <v>20</v>
      </c>
      <c r="I107" s="15"/>
      <c r="J107" s="15"/>
      <c r="K107" s="15"/>
      <c r="L107" s="15"/>
      <c r="M107" s="15"/>
      <c r="N107" s="15"/>
      <c r="O107" s="15"/>
      <c r="P107" s="15"/>
      <c r="Q107" s="15">
        <v>143</v>
      </c>
      <c r="R107" s="15">
        <v>20</v>
      </c>
      <c r="S107" s="15"/>
      <c r="T107" s="15"/>
      <c r="U107" s="15"/>
      <c r="V107" s="15"/>
      <c r="W107" s="15"/>
      <c r="X107" s="15"/>
      <c r="Y107" s="15"/>
      <c r="Z107" s="15"/>
      <c r="AA107" s="15"/>
      <c r="AB107" s="15"/>
      <c r="AC107" s="15"/>
      <c r="AD107" s="15"/>
      <c r="AE107" s="15"/>
      <c r="AF107" s="15"/>
      <c r="AG107" s="15"/>
      <c r="AH107" s="15"/>
      <c r="AI107" s="15"/>
      <c r="AJ107" s="15"/>
      <c r="AK107" s="15"/>
      <c r="AL107" s="15"/>
      <c r="AM107" s="15"/>
      <c r="AN107" s="15"/>
      <c r="AO107" s="15"/>
      <c r="AP107" s="15"/>
      <c r="AQ107" s="15"/>
      <c r="AR107" s="15"/>
      <c r="AS107" s="15"/>
      <c r="AT107" s="15"/>
      <c r="AU107" s="15"/>
      <c r="AV107" s="15"/>
      <c r="AW107" s="15"/>
      <c r="AX107" s="15"/>
      <c r="AY107" s="15"/>
      <c r="BV107" s="1">
        <v>4</v>
      </c>
      <c r="BW107" s="1" t="str">
        <v>Joachim</v>
      </c>
      <c r="BX107" s="1">
        <v>6.202</v>
      </c>
      <c r="BY107" s="1">
        <v>104</v>
      </c>
    </row>
    <row r="108" spans="1:77" x14ac:dyDescent="0.3">
      <c r="A108" s="15" t="s">
        <v>7</v>
      </c>
      <c r="B108" s="15">
        <v>43</v>
      </c>
      <c r="C108" s="15">
        <v>-16</v>
      </c>
      <c r="D108" s="15">
        <v>9</v>
      </c>
      <c r="E108" s="15"/>
      <c r="F108" s="15"/>
      <c r="G108" s="15">
        <v>94</v>
      </c>
      <c r="H108" s="15">
        <v>9</v>
      </c>
      <c r="I108" s="15"/>
      <c r="J108" s="15"/>
      <c r="K108" s="15"/>
      <c r="L108" s="15"/>
      <c r="M108" s="15">
        <v>58</v>
      </c>
      <c r="N108" s="15">
        <v>9</v>
      </c>
      <c r="O108" s="15"/>
      <c r="P108" s="15"/>
      <c r="Q108" s="15"/>
      <c r="R108" s="15"/>
      <c r="S108" s="15">
        <v>66</v>
      </c>
      <c r="T108" s="15">
        <v>9</v>
      </c>
      <c r="U108" s="15"/>
      <c r="V108" s="15"/>
      <c r="W108" s="15"/>
      <c r="X108" s="15"/>
      <c r="Y108" s="15"/>
      <c r="Z108" s="15"/>
      <c r="AA108" s="15"/>
      <c r="AB108" s="15"/>
      <c r="AC108" s="15"/>
      <c r="AD108" s="15"/>
      <c r="AE108" s="15"/>
      <c r="AF108" s="15"/>
      <c r="AG108" s="15"/>
      <c r="AH108" s="15"/>
      <c r="AI108" s="15"/>
      <c r="AJ108" s="15"/>
      <c r="AK108" s="15"/>
      <c r="AL108" s="15"/>
      <c r="AM108" s="15"/>
      <c r="AN108" s="15"/>
      <c r="AO108" s="15"/>
      <c r="AP108" s="15"/>
      <c r="AQ108" s="15"/>
      <c r="AR108" s="15"/>
      <c r="AS108" s="15"/>
      <c r="AT108" s="15"/>
      <c r="AU108" s="15"/>
      <c r="AV108" s="15"/>
      <c r="AW108" s="15"/>
      <c r="AX108" s="15"/>
      <c r="AY108" s="15"/>
      <c r="BV108" s="1">
        <v>5</v>
      </c>
      <c r="BW108" s="1" t="str">
        <v>Tom</v>
      </c>
      <c r="BX108" s="1">
        <v>6.109</v>
      </c>
      <c r="BY108" s="1">
        <v>193</v>
      </c>
    </row>
    <row r="109" spans="1:77" x14ac:dyDescent="0.3">
      <c r="A109" s="15" t="s">
        <v>7</v>
      </c>
      <c r="B109" s="15">
        <v>42</v>
      </c>
      <c r="C109" s="15">
        <v>63</v>
      </c>
      <c r="D109" s="15">
        <v>13</v>
      </c>
      <c r="E109" s="15">
        <v>89</v>
      </c>
      <c r="F109" s="15">
        <v>13</v>
      </c>
      <c r="G109" s="15">
        <v>43</v>
      </c>
      <c r="H109" s="15">
        <v>13</v>
      </c>
      <c r="I109" s="15"/>
      <c r="J109" s="15"/>
      <c r="K109" s="15"/>
      <c r="L109" s="15"/>
      <c r="M109" s="15"/>
      <c r="N109" s="15"/>
      <c r="O109" s="15"/>
      <c r="P109" s="15"/>
      <c r="Q109" s="15">
        <v>60</v>
      </c>
      <c r="R109" s="15">
        <v>13</v>
      </c>
      <c r="S109" s="15"/>
      <c r="T109" s="15"/>
      <c r="U109" s="15"/>
      <c r="V109" s="15"/>
      <c r="W109" s="15"/>
      <c r="X109" s="15"/>
      <c r="Y109" s="15"/>
      <c r="Z109" s="15"/>
      <c r="AA109" s="15"/>
      <c r="AB109" s="15"/>
      <c r="AC109" s="15"/>
      <c r="AD109" s="15"/>
      <c r="AE109" s="15"/>
      <c r="AF109" s="15"/>
      <c r="AG109" s="15"/>
      <c r="AH109" s="15"/>
      <c r="AI109" s="15"/>
      <c r="AJ109" s="15"/>
      <c r="AK109" s="15"/>
      <c r="AL109" s="15"/>
      <c r="AM109" s="15"/>
      <c r="AN109" s="15"/>
      <c r="AO109" s="15"/>
      <c r="AP109" s="15"/>
      <c r="AQ109" s="15"/>
      <c r="AR109" s="15"/>
      <c r="AS109" s="15"/>
      <c r="AT109" s="15"/>
      <c r="AU109" s="15"/>
      <c r="AV109" s="15"/>
      <c r="AW109" s="15"/>
      <c r="AX109" s="15"/>
      <c r="AY109" s="15"/>
      <c r="BV109" s="1">
        <v>6</v>
      </c>
      <c r="BW109" s="1" t="str">
        <v>William</v>
      </c>
      <c r="BX109" s="1">
        <v>6.069</v>
      </c>
      <c r="BY109" s="1">
        <v>29</v>
      </c>
    </row>
    <row r="110" spans="1:77" x14ac:dyDescent="0.3">
      <c r="A110" s="15" t="s">
        <v>7</v>
      </c>
      <c r="B110" s="15">
        <v>41</v>
      </c>
      <c r="C110" s="15">
        <v>16</v>
      </c>
      <c r="D110" s="15">
        <v>6</v>
      </c>
      <c r="E110" s="15">
        <v>16</v>
      </c>
      <c r="F110" s="15">
        <v>6</v>
      </c>
      <c r="G110" s="15">
        <v>21</v>
      </c>
      <c r="H110" s="15">
        <v>6</v>
      </c>
      <c r="I110" s="15">
        <v>40</v>
      </c>
      <c r="J110" s="15">
        <v>6</v>
      </c>
      <c r="K110" s="15"/>
      <c r="L110" s="15"/>
      <c r="M110" s="15"/>
      <c r="N110" s="15"/>
      <c r="O110" s="15"/>
      <c r="P110" s="15"/>
      <c r="Q110" s="15"/>
      <c r="R110" s="15"/>
      <c r="S110" s="15"/>
      <c r="T110" s="15"/>
      <c r="U110" s="15"/>
      <c r="V110" s="15"/>
      <c r="W110" s="15"/>
      <c r="X110" s="15"/>
      <c r="Y110" s="15"/>
      <c r="Z110" s="15"/>
      <c r="AA110" s="15"/>
      <c r="AB110" s="15"/>
      <c r="AC110" s="15"/>
      <c r="AD110" s="15"/>
      <c r="AE110" s="15"/>
      <c r="AF110" s="15"/>
      <c r="AG110" s="15"/>
      <c r="AH110" s="15"/>
      <c r="AI110" s="15"/>
      <c r="AJ110" s="15"/>
      <c r="AK110" s="15"/>
      <c r="AL110" s="15"/>
      <c r="AM110" s="15"/>
      <c r="AN110" s="15"/>
      <c r="AO110" s="15"/>
      <c r="AP110" s="15"/>
      <c r="AQ110" s="15"/>
      <c r="AR110" s="15"/>
      <c r="AS110" s="15"/>
      <c r="AT110" s="15"/>
      <c r="AU110" s="15"/>
      <c r="AV110" s="15"/>
      <c r="AW110" s="15"/>
      <c r="AX110" s="15"/>
      <c r="AY110" s="15"/>
      <c r="BV110" s="1">
        <v>7</v>
      </c>
      <c r="BW110" s="1" t="str">
        <v>Samuel</v>
      </c>
      <c r="BX110" s="1">
        <v>5.91</v>
      </c>
      <c r="BY110" s="1">
        <v>211</v>
      </c>
    </row>
    <row r="111" spans="1:77" x14ac:dyDescent="0.3">
      <c r="A111" s="15" t="s">
        <v>7</v>
      </c>
      <c r="B111" s="15">
        <v>40</v>
      </c>
      <c r="C111" s="15">
        <v>58</v>
      </c>
      <c r="D111" s="15">
        <v>8</v>
      </c>
      <c r="E111" s="15">
        <v>22</v>
      </c>
      <c r="F111" s="15">
        <v>8</v>
      </c>
      <c r="G111" s="15">
        <v>62</v>
      </c>
      <c r="H111" s="15">
        <v>8</v>
      </c>
      <c r="I111" s="15"/>
      <c r="J111" s="15"/>
      <c r="K111" s="15"/>
      <c r="L111" s="15"/>
      <c r="M111" s="15"/>
      <c r="N111" s="15"/>
      <c r="O111" s="15"/>
      <c r="P111" s="15"/>
      <c r="Q111" s="15"/>
      <c r="R111" s="15"/>
      <c r="S111" s="15"/>
      <c r="T111" s="15"/>
      <c r="U111" s="15"/>
      <c r="V111" s="15"/>
      <c r="W111" s="15"/>
      <c r="X111" s="15"/>
      <c r="Y111" s="15"/>
      <c r="Z111" s="15"/>
      <c r="AA111" s="15"/>
      <c r="AB111" s="15"/>
      <c r="AC111" s="15">
        <v>16</v>
      </c>
      <c r="AD111" s="15">
        <v>8</v>
      </c>
      <c r="AE111" s="15"/>
      <c r="AF111" s="15"/>
      <c r="AG111" s="15"/>
      <c r="AH111" s="15"/>
      <c r="AI111" s="15"/>
      <c r="AJ111" s="15"/>
      <c r="AK111" s="15"/>
      <c r="AL111" s="15"/>
      <c r="AM111" s="15"/>
      <c r="AN111" s="15"/>
      <c r="AO111" s="15"/>
      <c r="AP111" s="15"/>
      <c r="AQ111" s="15"/>
      <c r="AR111" s="15"/>
      <c r="AS111" s="15"/>
      <c r="AT111" s="15"/>
      <c r="AU111" s="15"/>
      <c r="AV111" s="15"/>
      <c r="AW111" s="15"/>
      <c r="AX111" s="15"/>
      <c r="AY111" s="15">
        <v>22</v>
      </c>
      <c r="AZ111" s="15">
        <v>8</v>
      </c>
      <c r="BV111" s="1">
        <v>8</v>
      </c>
      <c r="BW111" s="1" t="str">
        <v>Mehdi</v>
      </c>
      <c r="BX111" s="1">
        <v>5.77</v>
      </c>
      <c r="BY111" s="1">
        <v>421</v>
      </c>
    </row>
    <row r="112" spans="1:77" x14ac:dyDescent="0.3">
      <c r="A112" s="15" t="s">
        <v>7</v>
      </c>
      <c r="B112" s="15">
        <v>39</v>
      </c>
      <c r="C112" s="15">
        <v>38</v>
      </c>
      <c r="D112" s="15">
        <v>4</v>
      </c>
      <c r="E112" s="15">
        <v>46</v>
      </c>
      <c r="F112" s="15">
        <v>4</v>
      </c>
      <c r="G112" s="15">
        <v>-14</v>
      </c>
      <c r="H112" s="15">
        <v>3</v>
      </c>
      <c r="I112" s="15">
        <v>38</v>
      </c>
      <c r="J112" s="15">
        <v>4</v>
      </c>
      <c r="K112" s="15"/>
      <c r="L112" s="15"/>
      <c r="M112" s="15"/>
      <c r="N112" s="15"/>
      <c r="O112" s="15"/>
      <c r="P112" s="15"/>
      <c r="Q112" s="15"/>
      <c r="R112" s="15"/>
      <c r="S112" s="15"/>
      <c r="T112" s="15"/>
      <c r="U112" s="15"/>
      <c r="V112" s="15"/>
      <c r="W112" s="15"/>
      <c r="X112" s="15"/>
      <c r="Y112" s="15"/>
      <c r="Z112" s="15"/>
      <c r="AA112" s="15"/>
      <c r="AB112" s="15"/>
      <c r="AC112" s="15"/>
      <c r="AD112" s="15"/>
      <c r="AE112" s="15">
        <v>0</v>
      </c>
      <c r="AF112" s="15">
        <v>1</v>
      </c>
      <c r="AG112" s="15"/>
      <c r="AH112" s="15"/>
      <c r="AI112" s="15"/>
      <c r="AJ112" s="15"/>
      <c r="AK112" s="15"/>
      <c r="AL112" s="15"/>
      <c r="AM112" s="15"/>
      <c r="AN112" s="15"/>
      <c r="AO112" s="15"/>
      <c r="AP112" s="15"/>
      <c r="AQ112" s="15"/>
      <c r="AR112" s="15"/>
      <c r="AS112" s="15"/>
      <c r="AT112" s="15"/>
      <c r="AU112" s="15"/>
      <c r="AV112" s="15"/>
      <c r="AW112" s="15"/>
      <c r="AX112" s="15"/>
      <c r="AY112" s="15"/>
      <c r="BV112" s="1">
        <v>9</v>
      </c>
      <c r="BW112" s="1" t="str">
        <v>Damien</v>
      </c>
      <c r="BX112" s="1">
        <v>5.5990000000000002</v>
      </c>
      <c r="BY112" s="1">
        <v>593</v>
      </c>
    </row>
    <row r="113" spans="1:77" x14ac:dyDescent="0.3">
      <c r="A113" s="15" t="s">
        <v>7</v>
      </c>
      <c r="B113" s="15">
        <v>38</v>
      </c>
      <c r="C113" s="15">
        <v>47</v>
      </c>
      <c r="D113" s="15">
        <v>8</v>
      </c>
      <c r="E113" s="15"/>
      <c r="F113" s="15"/>
      <c r="G113" s="15">
        <v>46</v>
      </c>
      <c r="H113" s="15">
        <v>8</v>
      </c>
      <c r="I113" s="15"/>
      <c r="J113" s="15"/>
      <c r="K113" s="15">
        <v>65</v>
      </c>
      <c r="L113" s="15">
        <v>8</v>
      </c>
      <c r="M113" s="15"/>
      <c r="N113" s="15"/>
      <c r="O113" s="15">
        <v>47</v>
      </c>
      <c r="P113" s="15">
        <v>8</v>
      </c>
      <c r="Q113" s="15"/>
      <c r="R113" s="15"/>
      <c r="S113" s="15"/>
      <c r="T113" s="15"/>
      <c r="U113" s="15"/>
      <c r="V113" s="15"/>
      <c r="W113" s="15">
        <v>-8</v>
      </c>
      <c r="X113" s="15">
        <v>8</v>
      </c>
      <c r="Y113" s="15"/>
      <c r="Z113" s="15"/>
      <c r="AA113" s="15"/>
      <c r="AB113" s="15"/>
      <c r="AC113" s="15"/>
      <c r="AD113" s="15"/>
      <c r="AE113" s="15"/>
      <c r="AF113" s="15"/>
      <c r="AG113" s="15"/>
      <c r="AH113" s="15"/>
      <c r="AI113" s="15"/>
      <c r="AJ113" s="15"/>
      <c r="AK113" s="15"/>
      <c r="AL113" s="15"/>
      <c r="AM113" s="15"/>
      <c r="AN113" s="15"/>
      <c r="AO113" s="15"/>
      <c r="AP113" s="15"/>
      <c r="AQ113" s="15"/>
      <c r="AR113" s="15"/>
      <c r="AS113" s="15"/>
      <c r="AT113" s="15"/>
      <c r="AU113" s="15"/>
      <c r="AV113" s="15"/>
      <c r="AW113" s="15"/>
      <c r="AX113" s="15"/>
      <c r="AY113" s="15"/>
      <c r="BV113" s="1">
        <v>10</v>
      </c>
      <c r="BW113" s="1" t="str">
        <v>Lou</v>
      </c>
      <c r="BX113" s="1">
        <v>5.5529999999999999</v>
      </c>
      <c r="BY113" s="1">
        <v>76</v>
      </c>
    </row>
    <row r="114" spans="1:77" x14ac:dyDescent="0.3">
      <c r="A114" s="15" t="s">
        <v>7</v>
      </c>
      <c r="B114" s="15">
        <v>37</v>
      </c>
      <c r="C114" s="15">
        <v>128</v>
      </c>
      <c r="D114" s="15">
        <v>20</v>
      </c>
      <c r="E114" s="15"/>
      <c r="F114" s="15"/>
      <c r="G114" s="15">
        <v>152</v>
      </c>
      <c r="H114" s="15">
        <v>20</v>
      </c>
      <c r="I114" s="15"/>
      <c r="J114" s="15"/>
      <c r="K114" s="15"/>
      <c r="L114" s="15"/>
      <c r="M114" s="15">
        <v>94</v>
      </c>
      <c r="N114" s="15">
        <v>20</v>
      </c>
      <c r="O114" s="15"/>
      <c r="P114" s="15"/>
      <c r="Q114" s="15">
        <v>121</v>
      </c>
      <c r="R114" s="15">
        <v>20</v>
      </c>
      <c r="S114" s="15"/>
      <c r="T114" s="15"/>
      <c r="U114" s="15"/>
      <c r="V114" s="15"/>
      <c r="W114" s="15"/>
      <c r="X114" s="15"/>
      <c r="Y114" s="15"/>
      <c r="Z114" s="15"/>
      <c r="AA114" s="15"/>
      <c r="AB114" s="15"/>
      <c r="AC114" s="15"/>
      <c r="AD114" s="15"/>
      <c r="AE114" s="15"/>
      <c r="AF114" s="15"/>
      <c r="AG114" s="15"/>
      <c r="AH114" s="15"/>
      <c r="AI114" s="15"/>
      <c r="AJ114" s="15"/>
      <c r="AK114" s="15"/>
      <c r="AL114" s="15"/>
      <c r="AM114" s="15"/>
      <c r="AN114" s="15"/>
      <c r="AO114" s="15"/>
      <c r="AP114" s="15"/>
      <c r="AQ114" s="15"/>
      <c r="AR114" s="15"/>
      <c r="AS114" s="15"/>
      <c r="AT114" s="15"/>
      <c r="AU114" s="15"/>
      <c r="AV114" s="15"/>
      <c r="AW114" s="15"/>
      <c r="AX114" s="15"/>
      <c r="AY114" s="15"/>
      <c r="BV114" s="1">
        <v>11</v>
      </c>
      <c r="BW114" s="1" t="str">
        <v>Achille</v>
      </c>
      <c r="BX114" s="1">
        <v>5.3470000000000004</v>
      </c>
      <c r="BY114" s="1">
        <v>824</v>
      </c>
    </row>
    <row r="115" spans="1:77" x14ac:dyDescent="0.3">
      <c r="A115" s="15" t="s">
        <v>7</v>
      </c>
      <c r="B115" s="15">
        <v>36</v>
      </c>
      <c r="C115" s="15">
        <v>68</v>
      </c>
      <c r="D115" s="15">
        <v>12</v>
      </c>
      <c r="E115" s="15">
        <v>45</v>
      </c>
      <c r="F115" s="15">
        <v>12</v>
      </c>
      <c r="G115" s="15"/>
      <c r="H115" s="15"/>
      <c r="I115" s="15"/>
      <c r="J115" s="15"/>
      <c r="K115" s="15">
        <v>49</v>
      </c>
      <c r="L115" s="15">
        <v>12</v>
      </c>
      <c r="M115" s="15">
        <v>98</v>
      </c>
      <c r="N115" s="15">
        <v>12</v>
      </c>
      <c r="O115" s="15"/>
      <c r="P115" s="15"/>
      <c r="Q115" s="15"/>
      <c r="R115" s="15"/>
      <c r="S115" s="15"/>
      <c r="T115" s="15"/>
      <c r="U115" s="15"/>
      <c r="V115" s="15"/>
      <c r="W115" s="15"/>
      <c r="X115" s="15"/>
      <c r="Y115" s="15"/>
      <c r="Z115" s="15"/>
      <c r="AA115" s="15"/>
      <c r="AB115" s="15"/>
      <c r="AC115" s="15"/>
      <c r="AD115" s="15"/>
      <c r="AE115" s="15"/>
      <c r="AF115" s="15"/>
      <c r="AG115" s="15"/>
      <c r="AH115" s="15"/>
      <c r="AI115" s="15"/>
      <c r="AJ115" s="15"/>
      <c r="AK115" s="15"/>
      <c r="AL115" s="15"/>
      <c r="AM115" s="15"/>
      <c r="AN115" s="15"/>
      <c r="AO115" s="15"/>
      <c r="AP115" s="15"/>
      <c r="AQ115" s="15"/>
      <c r="AR115" s="15"/>
      <c r="AS115" s="15"/>
      <c r="AT115" s="15"/>
      <c r="AU115" s="15"/>
      <c r="AV115" s="15"/>
      <c r="AW115" s="15"/>
      <c r="AX115" s="15"/>
      <c r="AY115" s="15"/>
      <c r="BV115" s="1">
        <v>12</v>
      </c>
      <c r="BW115" s="1" t="str">
        <v>Quentin</v>
      </c>
      <c r="BX115" s="1">
        <v>5.0149999999999997</v>
      </c>
      <c r="BY115" s="1">
        <v>67</v>
      </c>
    </row>
    <row r="116" spans="1:77" x14ac:dyDescent="0.3">
      <c r="A116" s="15" t="s">
        <v>7</v>
      </c>
      <c r="B116" s="15">
        <v>35</v>
      </c>
      <c r="C116" s="15">
        <v>43</v>
      </c>
      <c r="D116" s="15">
        <v>12</v>
      </c>
      <c r="E116" s="15">
        <v>75</v>
      </c>
      <c r="F116" s="15">
        <v>12</v>
      </c>
      <c r="G116" s="15">
        <v>74</v>
      </c>
      <c r="H116" s="15">
        <v>12</v>
      </c>
      <c r="I116" s="15"/>
      <c r="J116" s="15"/>
      <c r="K116" s="15"/>
      <c r="L116" s="15"/>
      <c r="M116" s="15"/>
      <c r="N116" s="15"/>
      <c r="O116" s="15"/>
      <c r="P116" s="15"/>
      <c r="Q116" s="15"/>
      <c r="R116" s="15"/>
      <c r="S116" s="15"/>
      <c r="T116" s="15"/>
      <c r="U116" s="15"/>
      <c r="V116" s="15"/>
      <c r="W116" s="15"/>
      <c r="X116" s="15"/>
      <c r="Y116" s="15"/>
      <c r="Z116" s="15"/>
      <c r="AA116" s="15"/>
      <c r="AB116" s="15"/>
      <c r="AC116" s="15"/>
      <c r="AD116" s="15"/>
      <c r="AE116" s="15"/>
      <c r="AF116" s="15"/>
      <c r="AG116" s="15"/>
      <c r="AH116" s="15"/>
      <c r="AI116" s="15"/>
      <c r="AJ116" s="15"/>
      <c r="AK116" s="15"/>
      <c r="AL116" s="15"/>
      <c r="AM116" s="15"/>
      <c r="AN116" s="15"/>
      <c r="AO116" s="15"/>
      <c r="AP116" s="15"/>
      <c r="AQ116" s="15"/>
      <c r="AR116" s="15"/>
      <c r="AS116" s="15"/>
      <c r="AT116" s="15"/>
      <c r="AU116" s="15"/>
      <c r="AV116" s="15"/>
      <c r="AW116" s="15"/>
      <c r="AX116" s="15"/>
      <c r="AY116" s="15"/>
      <c r="BV116" s="1">
        <v>13</v>
      </c>
      <c r="BW116" s="1" t="str">
        <v>Paul</v>
      </c>
      <c r="BX116" s="1">
        <v>4.8129999999999997</v>
      </c>
      <c r="BY116" s="1">
        <v>32</v>
      </c>
    </row>
    <row r="117" spans="1:77" x14ac:dyDescent="0.3">
      <c r="A117" s="15" t="s">
        <v>7</v>
      </c>
      <c r="B117" s="15">
        <v>34</v>
      </c>
      <c r="C117" s="15"/>
      <c r="D117" s="15"/>
      <c r="E117" s="15">
        <v>24</v>
      </c>
      <c r="F117" s="15">
        <v>4</v>
      </c>
      <c r="G117" s="15">
        <v>27</v>
      </c>
      <c r="H117" s="15">
        <v>4</v>
      </c>
      <c r="I117" s="15"/>
      <c r="J117" s="15"/>
      <c r="K117" s="15"/>
      <c r="L117" s="15"/>
      <c r="M117" s="15">
        <v>-32</v>
      </c>
      <c r="N117" s="15">
        <v>4</v>
      </c>
      <c r="O117" s="15"/>
      <c r="P117" s="15"/>
      <c r="Q117" s="15">
        <v>68</v>
      </c>
      <c r="R117" s="15">
        <v>12</v>
      </c>
      <c r="S117" s="15">
        <v>56</v>
      </c>
      <c r="T117" s="15">
        <v>4</v>
      </c>
      <c r="U117" s="15"/>
      <c r="V117" s="15"/>
      <c r="W117" s="15"/>
      <c r="X117" s="15"/>
      <c r="Y117" s="15"/>
      <c r="Z117" s="15"/>
      <c r="AA117" s="15"/>
      <c r="AB117" s="15"/>
      <c r="AC117" s="15"/>
      <c r="AD117" s="15"/>
      <c r="AE117" s="15"/>
      <c r="AF117" s="15"/>
      <c r="AG117" s="15"/>
      <c r="AH117" s="15"/>
      <c r="AI117" s="15"/>
      <c r="AJ117" s="15"/>
      <c r="AK117" s="15"/>
      <c r="AL117" s="15"/>
      <c r="AM117" s="15"/>
      <c r="AN117" s="15"/>
      <c r="AO117" s="15"/>
      <c r="AP117" s="15"/>
      <c r="AQ117" s="15"/>
      <c r="AR117" s="15"/>
      <c r="AS117" s="15"/>
      <c r="AT117" s="15"/>
      <c r="AU117" s="15"/>
      <c r="AV117" s="15"/>
      <c r="AW117" s="15"/>
      <c r="AX117" s="15"/>
      <c r="AY117" s="15"/>
      <c r="BV117" s="1">
        <v>14</v>
      </c>
      <c r="BW117" s="1" t="str">
        <v>Jules</v>
      </c>
      <c r="BX117" s="1">
        <v>4.7409999999999997</v>
      </c>
      <c r="BY117" s="1">
        <v>139</v>
      </c>
    </row>
    <row r="118" spans="1:77" x14ac:dyDescent="0.3">
      <c r="A118" s="15" t="s">
        <v>7</v>
      </c>
      <c r="B118" s="15">
        <v>33</v>
      </c>
      <c r="C118" s="15">
        <v>11</v>
      </c>
      <c r="D118" s="15">
        <v>2</v>
      </c>
      <c r="E118" s="15"/>
      <c r="F118" s="15"/>
      <c r="G118" s="15">
        <v>11</v>
      </c>
      <c r="H118" s="15">
        <v>2</v>
      </c>
      <c r="I118" s="15">
        <v>13</v>
      </c>
      <c r="J118" s="15">
        <v>2</v>
      </c>
      <c r="K118" s="15"/>
      <c r="L118" s="15"/>
      <c r="M118" s="15"/>
      <c r="N118" s="15"/>
      <c r="O118" s="15"/>
      <c r="P118" s="15"/>
      <c r="Q118" s="15"/>
      <c r="R118" s="15"/>
      <c r="S118" s="15">
        <v>13</v>
      </c>
      <c r="T118" s="15">
        <v>2</v>
      </c>
      <c r="U118" s="15"/>
      <c r="V118" s="15"/>
      <c r="W118" s="15"/>
      <c r="X118" s="15"/>
      <c r="Y118" s="15"/>
      <c r="Z118" s="15"/>
      <c r="AA118" s="15"/>
      <c r="AB118" s="15"/>
      <c r="AC118" s="15"/>
      <c r="AD118" s="15"/>
      <c r="AE118" s="15"/>
      <c r="AF118" s="15"/>
      <c r="AG118" s="15"/>
      <c r="AH118" s="15"/>
      <c r="AI118" s="15"/>
      <c r="AJ118" s="15"/>
      <c r="AK118" s="15"/>
      <c r="AL118" s="15"/>
      <c r="AM118" s="15"/>
      <c r="AN118" s="15"/>
      <c r="AO118" s="15"/>
      <c r="AP118" s="16"/>
      <c r="AQ118" s="15"/>
      <c r="AR118" s="15"/>
      <c r="AS118" s="15"/>
      <c r="AT118" s="15"/>
      <c r="AU118" s="15"/>
      <c r="AV118" s="15"/>
      <c r="AW118" s="15"/>
      <c r="AX118" s="15"/>
      <c r="AY118" s="15"/>
      <c r="BV118" s="1">
        <v>15</v>
      </c>
      <c r="BW118" s="1" t="str">
        <v>Marie</v>
      </c>
      <c r="BX118" s="1">
        <v>4.2190000000000003</v>
      </c>
      <c r="BY118" s="1">
        <v>208</v>
      </c>
    </row>
    <row r="119" spans="1:77" x14ac:dyDescent="0.3">
      <c r="A119" s="15" t="s">
        <v>7</v>
      </c>
      <c r="B119" s="15">
        <v>32</v>
      </c>
      <c r="C119" s="15">
        <v>14</v>
      </c>
      <c r="D119" s="15">
        <v>11</v>
      </c>
      <c r="E119" s="15"/>
      <c r="F119" s="15"/>
      <c r="G119" s="15">
        <v>105</v>
      </c>
      <c r="H119" s="15">
        <v>11</v>
      </c>
      <c r="I119" s="15">
        <v>81</v>
      </c>
      <c r="J119" s="15">
        <v>11</v>
      </c>
      <c r="K119" s="15">
        <v>61</v>
      </c>
      <c r="L119" s="15">
        <v>11</v>
      </c>
      <c r="M119" s="15"/>
      <c r="N119" s="15"/>
      <c r="O119" s="15"/>
      <c r="P119" s="15"/>
      <c r="Q119" s="15"/>
      <c r="R119" s="15"/>
      <c r="S119" s="15"/>
      <c r="T119" s="15"/>
      <c r="U119" s="15"/>
      <c r="V119" s="15"/>
      <c r="W119" s="15"/>
      <c r="X119" s="15"/>
      <c r="Y119" s="15"/>
      <c r="Z119" s="15"/>
      <c r="AA119" s="15"/>
      <c r="AB119" s="15"/>
      <c r="AC119" s="15"/>
      <c r="AD119" s="15"/>
      <c r="AE119" s="15"/>
      <c r="AF119" s="15"/>
      <c r="AG119" s="15"/>
      <c r="AH119" s="15"/>
      <c r="AI119" s="15"/>
      <c r="AJ119" s="15"/>
      <c r="AK119" s="15"/>
      <c r="AL119" s="15"/>
      <c r="AM119" s="15"/>
      <c r="AN119" s="15"/>
      <c r="AO119" s="15"/>
      <c r="AP119" s="15"/>
      <c r="AQ119" s="15"/>
      <c r="AR119" s="15"/>
      <c r="AS119" s="15"/>
      <c r="AT119" s="15"/>
      <c r="AU119" s="15"/>
      <c r="AV119" s="15"/>
      <c r="AW119" s="15"/>
      <c r="AX119" s="15"/>
      <c r="AY119" s="15"/>
      <c r="BV119" s="1">
        <v>16</v>
      </c>
      <c r="BW119" s="1" t="str">
        <v>Luca</v>
      </c>
      <c r="BX119" s="1">
        <v>3.0110000000000001</v>
      </c>
      <c r="BY119" s="1">
        <v>178</v>
      </c>
    </row>
    <row r="120" spans="1:77" x14ac:dyDescent="0.3">
      <c r="A120" s="15" t="s">
        <v>7</v>
      </c>
      <c r="B120" s="15">
        <v>31</v>
      </c>
      <c r="C120" s="15">
        <v>40</v>
      </c>
      <c r="D120" s="15">
        <v>4</v>
      </c>
      <c r="E120" s="15"/>
      <c r="F120" s="15"/>
      <c r="G120" s="15">
        <v>1</v>
      </c>
      <c r="H120" s="15">
        <v>4</v>
      </c>
      <c r="I120" s="15"/>
      <c r="J120" s="15"/>
      <c r="K120" s="15">
        <v>30</v>
      </c>
      <c r="L120" s="15">
        <v>4</v>
      </c>
      <c r="M120" s="15"/>
      <c r="N120" s="15"/>
      <c r="O120" s="15"/>
      <c r="P120" s="15"/>
      <c r="Q120" s="15"/>
      <c r="R120" s="15"/>
      <c r="S120" s="15">
        <v>19</v>
      </c>
      <c r="T120" s="15">
        <v>4</v>
      </c>
      <c r="U120" s="15"/>
      <c r="V120" s="15"/>
      <c r="W120" s="15"/>
      <c r="X120" s="15"/>
      <c r="Y120" s="15"/>
      <c r="Z120" s="15"/>
      <c r="AA120" s="15"/>
      <c r="AB120" s="15"/>
      <c r="AC120" s="15"/>
      <c r="AD120" s="15"/>
      <c r="AE120" s="15"/>
      <c r="AF120" s="15"/>
      <c r="AG120" s="15"/>
      <c r="AH120" s="15"/>
      <c r="AI120" s="15"/>
      <c r="AJ120" s="15"/>
      <c r="AK120" s="15"/>
      <c r="AL120" s="15"/>
      <c r="AM120" s="15"/>
      <c r="AN120" s="15"/>
      <c r="AO120" s="15"/>
      <c r="AP120" s="15"/>
      <c r="AQ120" s="15"/>
      <c r="AR120" s="15"/>
      <c r="AS120" s="15"/>
      <c r="AT120" s="15"/>
      <c r="AU120" s="15"/>
      <c r="AV120" s="15"/>
      <c r="AW120" s="15"/>
      <c r="AX120" s="15"/>
      <c r="AY120" s="15"/>
      <c r="BV120" s="1">
        <v>17</v>
      </c>
      <c r="BW120" s="1" t="str">
        <v>Fantinne</v>
      </c>
      <c r="BX120" s="1">
        <v>2.9609999999999999</v>
      </c>
      <c r="BY120" s="1">
        <v>51</v>
      </c>
    </row>
    <row r="121" spans="1:77" x14ac:dyDescent="0.3">
      <c r="A121" s="15" t="s">
        <v>7</v>
      </c>
      <c r="B121" s="15">
        <v>30</v>
      </c>
      <c r="C121" s="15">
        <f>56/2</f>
        <v>28</v>
      </c>
      <c r="D121" s="15">
        <f>6/2</f>
        <v>3</v>
      </c>
      <c r="E121" s="15"/>
      <c r="F121" s="15"/>
      <c r="G121" s="15">
        <v>-28</v>
      </c>
      <c r="H121" s="15">
        <v>6</v>
      </c>
      <c r="I121" s="15"/>
      <c r="J121" s="15"/>
      <c r="K121" s="15">
        <f>56/2</f>
        <v>28</v>
      </c>
      <c r="L121" s="15">
        <f>6/2</f>
        <v>3</v>
      </c>
      <c r="M121" s="15">
        <v>28</v>
      </c>
      <c r="N121" s="15">
        <v>6</v>
      </c>
      <c r="O121" s="15"/>
      <c r="P121" s="15"/>
      <c r="Q121" s="15"/>
      <c r="R121" s="15"/>
      <c r="S121" s="15">
        <v>53</v>
      </c>
      <c r="T121" s="15">
        <v>6</v>
      </c>
      <c r="U121" s="15"/>
      <c r="V121" s="15"/>
      <c r="W121" s="15"/>
      <c r="X121" s="15"/>
      <c r="Y121" s="15"/>
      <c r="Z121" s="15"/>
      <c r="AA121" s="15"/>
      <c r="AB121" s="15"/>
      <c r="AC121" s="15"/>
      <c r="AD121" s="15"/>
      <c r="AE121" s="15"/>
      <c r="AF121" s="15"/>
      <c r="AG121" s="15"/>
      <c r="AH121" s="15"/>
      <c r="AI121" s="15"/>
      <c r="AJ121" s="15"/>
      <c r="AK121" s="15"/>
      <c r="AL121" s="15"/>
      <c r="AM121" s="15"/>
      <c r="AN121" s="15"/>
      <c r="AO121" s="15"/>
      <c r="AP121" s="15"/>
      <c r="AQ121" s="15"/>
      <c r="AR121" s="15"/>
      <c r="AS121" s="15"/>
      <c r="AT121" s="15"/>
      <c r="AU121" s="15"/>
      <c r="AV121" s="15"/>
      <c r="AW121" s="15"/>
      <c r="AX121" s="15"/>
      <c r="AY121" s="15"/>
      <c r="BV121" s="1">
        <v>18</v>
      </c>
      <c r="BW121" s="1" t="str">
        <v>Joey</v>
      </c>
      <c r="BX121" s="1">
        <v>2.9329999999999998</v>
      </c>
      <c r="BY121" s="1">
        <v>60</v>
      </c>
    </row>
    <row r="122" spans="1:77" x14ac:dyDescent="0.3">
      <c r="A122" s="15" t="s">
        <v>7</v>
      </c>
      <c r="B122" s="15">
        <v>29</v>
      </c>
      <c r="C122" s="15">
        <v>7</v>
      </c>
      <c r="D122" s="15">
        <v>6</v>
      </c>
      <c r="E122" s="15">
        <v>41</v>
      </c>
      <c r="F122" s="15">
        <v>6</v>
      </c>
      <c r="G122" s="15">
        <v>42</v>
      </c>
      <c r="H122" s="15">
        <v>6</v>
      </c>
      <c r="I122" s="15"/>
      <c r="J122" s="15"/>
      <c r="K122" s="15"/>
      <c r="L122" s="15"/>
      <c r="M122" s="15"/>
      <c r="N122" s="15"/>
      <c r="O122" s="15"/>
      <c r="P122" s="15"/>
      <c r="Q122" s="15"/>
      <c r="R122" s="15"/>
      <c r="S122" s="15">
        <v>34</v>
      </c>
      <c r="T122" s="15">
        <v>6</v>
      </c>
      <c r="U122" s="15"/>
      <c r="V122" s="15"/>
      <c r="W122" s="15"/>
      <c r="X122" s="15"/>
      <c r="Y122" s="15"/>
      <c r="Z122" s="15"/>
      <c r="AA122" s="15"/>
      <c r="AB122" s="15"/>
      <c r="AC122" s="15"/>
      <c r="AD122" s="15"/>
      <c r="AE122" s="15"/>
      <c r="AF122" s="15"/>
      <c r="AG122" s="15"/>
      <c r="AH122" s="15"/>
      <c r="AI122" s="15"/>
      <c r="AJ122" s="15"/>
      <c r="AK122" s="15"/>
      <c r="AL122" s="15"/>
      <c r="AM122" s="15"/>
      <c r="AN122" s="15"/>
      <c r="AO122" s="15"/>
      <c r="AP122" s="15"/>
      <c r="AQ122" s="15"/>
      <c r="AR122" s="15"/>
      <c r="AS122" s="15"/>
      <c r="AT122" s="15"/>
      <c r="AU122" s="15"/>
      <c r="AV122" s="15"/>
      <c r="AW122" s="15"/>
      <c r="AX122" s="15"/>
      <c r="AY122" s="15"/>
      <c r="BV122" s="1">
        <v>19</v>
      </c>
      <c r="BW122" s="1" t="str">
        <v>Loulou</v>
      </c>
      <c r="BX122" s="1">
        <v>2.0750000000000002</v>
      </c>
      <c r="BY122" s="1">
        <v>67</v>
      </c>
    </row>
    <row r="123" spans="1:77" x14ac:dyDescent="0.3">
      <c r="A123" s="15" t="s">
        <v>7</v>
      </c>
      <c r="B123" s="15">
        <v>28</v>
      </c>
      <c r="C123" s="15">
        <v>31</v>
      </c>
      <c r="D123" s="15">
        <v>4</v>
      </c>
      <c r="E123" s="15">
        <v>55</v>
      </c>
      <c r="F123" s="15">
        <v>4</v>
      </c>
      <c r="G123" s="15">
        <v>-8</v>
      </c>
      <c r="H123" s="15">
        <v>4</v>
      </c>
      <c r="I123" s="15">
        <v>33</v>
      </c>
      <c r="J123" s="15">
        <v>4</v>
      </c>
      <c r="K123" s="15"/>
      <c r="L123" s="15"/>
      <c r="M123" s="15">
        <v>11</v>
      </c>
      <c r="N123" s="15">
        <v>4</v>
      </c>
      <c r="O123" s="15"/>
      <c r="P123" s="15"/>
      <c r="Q123" s="15"/>
      <c r="R123" s="15"/>
      <c r="S123" s="15"/>
      <c r="T123" s="15"/>
      <c r="U123" s="15"/>
      <c r="V123" s="15"/>
      <c r="W123" s="15"/>
      <c r="X123" s="15"/>
      <c r="Y123" s="15"/>
      <c r="Z123" s="15"/>
      <c r="AA123" s="15"/>
      <c r="AB123" s="15"/>
      <c r="AC123" s="15"/>
      <c r="AD123" s="15"/>
      <c r="AE123" s="15"/>
      <c r="AF123" s="15"/>
      <c r="AG123" s="15"/>
      <c r="AH123" s="15"/>
      <c r="AI123" s="15"/>
      <c r="AJ123" s="15"/>
      <c r="AK123" s="15"/>
      <c r="AL123" s="15"/>
      <c r="AM123" s="15"/>
      <c r="AN123" s="15"/>
      <c r="AO123" s="15"/>
      <c r="AP123" s="15"/>
      <c r="AQ123" s="15"/>
      <c r="AR123" s="15"/>
      <c r="AS123" s="15"/>
      <c r="AT123" s="15"/>
      <c r="AU123" s="15"/>
      <c r="AV123" s="15"/>
      <c r="AW123" s="15"/>
      <c r="AX123" s="15"/>
      <c r="AY123" s="15"/>
    </row>
    <row r="124" spans="1:77" x14ac:dyDescent="0.3">
      <c r="A124" s="15" t="s">
        <v>7</v>
      </c>
      <c r="B124" s="15">
        <v>27</v>
      </c>
      <c r="C124" s="15">
        <v>42</v>
      </c>
      <c r="D124" s="15">
        <v>9</v>
      </c>
      <c r="E124" s="15">
        <v>73</v>
      </c>
      <c r="F124" s="15">
        <v>9</v>
      </c>
      <c r="G124" s="15">
        <v>34</v>
      </c>
      <c r="H124" s="15">
        <v>9</v>
      </c>
      <c r="I124" s="15">
        <v>62</v>
      </c>
      <c r="J124" s="15">
        <v>9</v>
      </c>
      <c r="K124" s="15"/>
      <c r="L124" s="15"/>
      <c r="M124" s="15"/>
      <c r="N124" s="15"/>
      <c r="O124" s="15"/>
      <c r="P124" s="15"/>
      <c r="Q124" s="15"/>
      <c r="R124" s="15"/>
      <c r="S124" s="15"/>
      <c r="T124" s="15"/>
      <c r="U124" s="15"/>
      <c r="V124" s="15"/>
      <c r="W124" s="15"/>
      <c r="X124" s="15"/>
      <c r="Y124" s="15"/>
      <c r="Z124" s="15"/>
      <c r="AA124" s="15"/>
      <c r="AB124" s="15"/>
      <c r="AC124" s="15"/>
      <c r="AD124" s="15"/>
      <c r="AE124" s="15"/>
      <c r="AF124" s="15"/>
      <c r="AG124" s="15"/>
      <c r="AH124" s="15"/>
      <c r="AI124" s="15"/>
      <c r="AJ124" s="15"/>
      <c r="AK124" s="15"/>
      <c r="AL124" s="15"/>
      <c r="AM124" s="15"/>
      <c r="AN124" s="15"/>
      <c r="AO124" s="15"/>
      <c r="AP124" s="15"/>
      <c r="AQ124" s="15"/>
      <c r="AR124" s="15"/>
      <c r="AS124" s="15"/>
      <c r="AT124" s="15"/>
      <c r="AU124" s="15"/>
      <c r="AV124" s="15"/>
      <c r="AW124" s="15"/>
      <c r="AX124" s="15"/>
      <c r="AY124" s="15"/>
    </row>
    <row r="125" spans="1:77" x14ac:dyDescent="0.3">
      <c r="A125" s="15" t="s">
        <v>7</v>
      </c>
      <c r="B125" s="15">
        <v>26</v>
      </c>
      <c r="C125" s="15">
        <v>0</v>
      </c>
      <c r="D125" s="15">
        <v>1</v>
      </c>
      <c r="E125" s="15">
        <v>8</v>
      </c>
      <c r="F125" s="15">
        <v>1</v>
      </c>
      <c r="G125" s="15"/>
      <c r="H125" s="15"/>
      <c r="I125" s="15"/>
      <c r="J125" s="15"/>
      <c r="K125" s="15"/>
      <c r="L125" s="15"/>
      <c r="M125" s="15">
        <v>21</v>
      </c>
      <c r="N125" s="15">
        <v>2</v>
      </c>
      <c r="O125" s="15"/>
      <c r="P125" s="15"/>
      <c r="Q125" s="15"/>
      <c r="R125" s="15"/>
      <c r="S125" s="15">
        <v>13</v>
      </c>
      <c r="T125" s="15">
        <v>2</v>
      </c>
      <c r="U125" s="15"/>
      <c r="V125" s="15"/>
      <c r="W125" s="15"/>
      <c r="X125" s="15"/>
      <c r="Y125" s="15"/>
      <c r="Z125" s="15"/>
      <c r="AA125" s="15"/>
      <c r="AB125" s="15"/>
      <c r="AC125" s="15">
        <v>0</v>
      </c>
      <c r="AD125" s="15">
        <v>2</v>
      </c>
      <c r="AE125" s="15"/>
      <c r="AF125" s="15"/>
      <c r="AG125" s="15"/>
      <c r="AH125" s="15"/>
      <c r="AI125" s="15"/>
      <c r="AJ125" s="15"/>
      <c r="AK125" s="15"/>
      <c r="AL125" s="15"/>
      <c r="AM125" s="15"/>
      <c r="AN125" s="15"/>
      <c r="AO125" s="15"/>
      <c r="AP125" s="15"/>
      <c r="AQ125" s="15"/>
      <c r="AR125" s="15"/>
      <c r="AS125" s="15"/>
      <c r="AT125" s="15"/>
      <c r="AU125" s="15"/>
      <c r="AV125" s="15"/>
      <c r="AW125" s="15"/>
      <c r="AX125" s="15"/>
      <c r="AY125" s="15"/>
    </row>
    <row r="126" spans="1:77" x14ac:dyDescent="0.3">
      <c r="A126" s="15" t="s">
        <v>7</v>
      </c>
      <c r="B126" s="15">
        <v>25</v>
      </c>
      <c r="C126" s="15"/>
      <c r="D126" s="15"/>
      <c r="E126" s="15">
        <v>-14</v>
      </c>
      <c r="F126" s="15">
        <v>2</v>
      </c>
      <c r="G126" s="15">
        <v>27</v>
      </c>
      <c r="H126" s="15">
        <v>2</v>
      </c>
      <c r="I126" s="15">
        <v>-14</v>
      </c>
      <c r="J126" s="15">
        <v>2</v>
      </c>
      <c r="K126" s="15"/>
      <c r="L126" s="15"/>
      <c r="M126" s="15"/>
      <c r="N126" s="15"/>
      <c r="O126" s="15"/>
      <c r="P126" s="15"/>
      <c r="Q126" s="15"/>
      <c r="R126" s="15"/>
      <c r="S126" s="15"/>
      <c r="T126" s="15"/>
      <c r="U126" s="15"/>
      <c r="V126" s="15"/>
      <c r="W126" s="15"/>
      <c r="X126" s="15"/>
      <c r="Y126" s="15"/>
      <c r="Z126" s="15"/>
      <c r="AA126" s="15"/>
      <c r="AB126" s="15"/>
      <c r="AC126" s="15"/>
      <c r="AD126" s="15"/>
      <c r="AE126" s="15">
        <v>27</v>
      </c>
      <c r="AF126" s="15">
        <v>2</v>
      </c>
      <c r="AG126" s="15"/>
      <c r="AH126" s="15"/>
      <c r="AI126" s="15"/>
      <c r="AJ126" s="15"/>
      <c r="AK126" s="15"/>
      <c r="AL126" s="15"/>
      <c r="AM126" s="15"/>
      <c r="AN126" s="15"/>
      <c r="AO126" s="15"/>
      <c r="AP126" s="15"/>
      <c r="AQ126" s="15"/>
      <c r="AR126" s="15"/>
      <c r="AS126" s="15"/>
      <c r="AT126" s="15"/>
      <c r="AU126" s="15"/>
      <c r="AV126" s="15"/>
      <c r="AW126" s="15"/>
      <c r="AX126" s="15"/>
      <c r="AY126" s="15"/>
    </row>
    <row r="127" spans="1:77" x14ac:dyDescent="0.3">
      <c r="A127" s="15" t="s">
        <v>7</v>
      </c>
      <c r="B127" s="15">
        <v>24</v>
      </c>
      <c r="C127" s="15">
        <v>14</v>
      </c>
      <c r="D127" s="15">
        <v>2</v>
      </c>
      <c r="E127" s="15"/>
      <c r="F127" s="15"/>
      <c r="G127" s="15">
        <v>34</v>
      </c>
      <c r="H127" s="15">
        <v>2</v>
      </c>
      <c r="I127" s="15"/>
      <c r="J127" s="15"/>
      <c r="K127" s="15">
        <v>20</v>
      </c>
      <c r="L127" s="15">
        <v>2</v>
      </c>
      <c r="M127" s="15">
        <v>0</v>
      </c>
      <c r="N127" s="15">
        <v>2</v>
      </c>
      <c r="O127" s="15"/>
      <c r="P127" s="15"/>
      <c r="Q127" s="15"/>
      <c r="R127" s="15"/>
      <c r="S127" s="15"/>
      <c r="T127" s="15"/>
      <c r="U127" s="15"/>
      <c r="V127" s="15"/>
      <c r="W127" s="15"/>
      <c r="X127" s="15"/>
      <c r="Y127" s="15"/>
      <c r="Z127" s="15"/>
      <c r="AA127" s="15"/>
      <c r="AB127" s="15"/>
      <c r="AC127" s="15"/>
      <c r="AD127" s="15"/>
      <c r="AE127" s="15"/>
      <c r="AF127" s="15"/>
      <c r="AG127" s="15"/>
      <c r="AH127" s="15"/>
      <c r="AI127" s="15"/>
      <c r="AJ127" s="15"/>
      <c r="AK127" s="15"/>
      <c r="AL127" s="15"/>
      <c r="AM127" s="15"/>
      <c r="AN127" s="15"/>
      <c r="AO127" s="15"/>
      <c r="AP127" s="15"/>
      <c r="AQ127" s="15"/>
      <c r="AR127" s="15"/>
      <c r="AS127" s="15"/>
      <c r="AT127" s="15"/>
      <c r="AU127" s="15"/>
      <c r="AV127" s="15"/>
      <c r="AW127" s="15"/>
      <c r="AX127" s="15"/>
      <c r="AY127" s="15"/>
    </row>
    <row r="128" spans="1:77" x14ac:dyDescent="0.3">
      <c r="A128" s="15" t="s">
        <v>7</v>
      </c>
      <c r="B128" s="15">
        <v>23</v>
      </c>
      <c r="C128" s="15">
        <v>13</v>
      </c>
      <c r="D128" s="15">
        <v>9</v>
      </c>
      <c r="E128" s="15"/>
      <c r="F128" s="15"/>
      <c r="G128" s="15">
        <v>99</v>
      </c>
      <c r="H128" s="15">
        <v>9</v>
      </c>
      <c r="I128" s="15"/>
      <c r="J128" s="15"/>
      <c r="K128" s="15"/>
      <c r="L128" s="15"/>
      <c r="M128" s="15"/>
      <c r="N128" s="15"/>
      <c r="O128" s="15"/>
      <c r="P128" s="15"/>
      <c r="Q128" s="15"/>
      <c r="R128" s="15"/>
      <c r="S128" s="15">
        <v>28</v>
      </c>
      <c r="T128" s="15">
        <v>9</v>
      </c>
      <c r="U128" s="15"/>
      <c r="V128" s="15"/>
      <c r="W128" s="15"/>
      <c r="X128" s="15"/>
      <c r="Y128" s="15"/>
      <c r="Z128" s="15"/>
      <c r="AA128" s="15"/>
      <c r="AB128" s="15"/>
      <c r="AC128" s="15"/>
      <c r="AD128" s="15"/>
      <c r="AE128" s="15"/>
      <c r="AF128" s="15"/>
      <c r="AG128" s="15"/>
      <c r="AH128" s="15"/>
      <c r="AI128" s="15"/>
      <c r="AJ128" s="15"/>
      <c r="AK128" s="15">
        <v>42</v>
      </c>
      <c r="AL128" s="15">
        <v>9</v>
      </c>
      <c r="AM128" s="15"/>
      <c r="AN128" s="15"/>
      <c r="AO128" s="15"/>
      <c r="AP128" s="15"/>
      <c r="AQ128" s="15"/>
      <c r="AR128" s="15"/>
      <c r="AS128" s="15"/>
      <c r="AT128" s="15"/>
      <c r="AU128" s="15"/>
      <c r="AV128" s="15"/>
      <c r="AW128" s="15"/>
      <c r="AX128" s="15"/>
      <c r="AY128" s="15"/>
    </row>
    <row r="129" spans="1:80" x14ac:dyDescent="0.3">
      <c r="A129" s="15" t="s">
        <v>7</v>
      </c>
      <c r="B129" s="15">
        <v>22</v>
      </c>
      <c r="C129" s="15">
        <v>19</v>
      </c>
      <c r="D129" s="15">
        <v>8</v>
      </c>
      <c r="E129" s="15">
        <v>82</v>
      </c>
      <c r="F129" s="15">
        <v>8</v>
      </c>
      <c r="G129" s="15">
        <v>24</v>
      </c>
      <c r="H129" s="15">
        <v>8</v>
      </c>
      <c r="I129" s="15"/>
      <c r="J129" s="15"/>
      <c r="K129" s="15"/>
      <c r="L129" s="15"/>
      <c r="M129" s="15"/>
      <c r="N129" s="15"/>
      <c r="O129" s="15"/>
      <c r="P129" s="15"/>
      <c r="Q129" s="15"/>
      <c r="R129" s="15"/>
      <c r="S129" s="15"/>
      <c r="T129" s="15"/>
      <c r="U129" s="15"/>
      <c r="V129" s="15"/>
      <c r="W129" s="15"/>
      <c r="X129" s="15"/>
      <c r="Y129" s="15"/>
      <c r="Z129" s="15"/>
      <c r="AA129" s="15"/>
      <c r="AB129" s="15"/>
      <c r="AC129" s="15"/>
      <c r="AD129" s="15"/>
      <c r="AE129" s="15"/>
      <c r="AF129" s="15"/>
      <c r="AG129" s="15"/>
      <c r="AH129" s="15"/>
      <c r="AI129" s="15"/>
      <c r="AJ129" s="15"/>
      <c r="AK129" s="15">
        <v>79</v>
      </c>
      <c r="AL129" s="15">
        <v>8</v>
      </c>
      <c r="AM129" s="15"/>
      <c r="AN129" s="15"/>
      <c r="AO129" s="15"/>
      <c r="AP129" s="15"/>
      <c r="AQ129" s="15"/>
      <c r="AR129" s="15"/>
      <c r="AS129" s="15"/>
      <c r="AT129" s="15"/>
      <c r="AU129" s="15"/>
      <c r="AV129" s="15"/>
      <c r="AW129" s="15"/>
      <c r="AX129" s="15"/>
      <c r="AY129" s="15"/>
    </row>
    <row r="130" spans="1:80" x14ac:dyDescent="0.3">
      <c r="A130" s="15" t="s">
        <v>7</v>
      </c>
      <c r="B130" s="15">
        <v>21</v>
      </c>
      <c r="C130" s="15">
        <v>93</v>
      </c>
      <c r="D130" s="15">
        <v>20</v>
      </c>
      <c r="E130" s="15">
        <v>156</v>
      </c>
      <c r="F130" s="15">
        <v>20</v>
      </c>
      <c r="G130" s="15">
        <v>153</v>
      </c>
      <c r="H130" s="15">
        <v>20</v>
      </c>
      <c r="I130" s="15"/>
      <c r="J130" s="15"/>
      <c r="K130" s="15"/>
      <c r="L130" s="15"/>
      <c r="M130" s="15"/>
      <c r="N130" s="15"/>
      <c r="O130" s="15"/>
      <c r="P130" s="15"/>
      <c r="Q130" s="15"/>
      <c r="R130" s="15"/>
      <c r="S130" s="15"/>
      <c r="T130" s="15"/>
      <c r="U130" s="15"/>
      <c r="V130" s="15"/>
      <c r="W130" s="15">
        <v>59</v>
      </c>
      <c r="X130" s="15">
        <v>20</v>
      </c>
      <c r="Y130" s="15"/>
      <c r="Z130" s="15"/>
      <c r="AA130" s="15"/>
      <c r="AB130" s="15"/>
      <c r="AC130" s="15"/>
      <c r="AD130" s="15"/>
      <c r="AE130" s="15"/>
      <c r="AF130" s="15"/>
      <c r="AG130" s="15"/>
      <c r="AH130" s="15"/>
      <c r="AI130" s="15"/>
      <c r="AJ130" s="15"/>
      <c r="AK130" s="15"/>
      <c r="AL130" s="15"/>
      <c r="AM130" s="15"/>
      <c r="AN130" s="15"/>
      <c r="AO130" s="15"/>
      <c r="AP130" s="15"/>
      <c r="AQ130" s="15"/>
      <c r="AR130" s="15"/>
      <c r="AS130" s="15"/>
      <c r="AT130" s="15"/>
      <c r="AU130" s="15"/>
      <c r="AV130" s="15"/>
      <c r="AW130" s="15"/>
      <c r="AX130" s="15"/>
      <c r="AY130" s="15"/>
      <c r="BV130" s="1" t="str" cm="1">
        <f t="array" ref="BV130:BX147">_xlfn.LET(_xlpm.cols_impairs, _xlfn.SEQUENCE(1,COLUMNS(C1:AZ1)/2,1,2),
  _xlpm.cols_pairs,   _xlfn.SEQUENCE(1,COLUMNS(C2:AZ2)/2,2,2),
  _xlpm.noms,     TRANSPOSE(INDEX(C9:AZ9,,_xlpm.cols_impairs)),
  _xlpm.moy,      TRANSPOSE(INDEX(C1:AZ1,,_xlpm.cols_impairs)),
  _xlpm.parties,  TRANSPOSE(INDEX(C2:AZ2,,_xlpm.cols_pairs)),
  _xlpm.ok, ISNUMBER(_xlpm.moy),
  _xlfn._xlws.SORT(CHOOSE({1,2,3}, _xlfn._xlws.FILTER(_xlpm.noms,_xlpm.ok), _xlfn._xlws.FILTER(_xlpm.moy,_xlpm.ok), _xlfn._xlws.FILTER(_xlpm.parties,_xlpm.ok)), 2, -1)
)</f>
        <v>Gauthier</v>
      </c>
      <c r="BW130" s="1">
        <v>7.3913043478260869</v>
      </c>
      <c r="BX130" s="1">
        <v>69</v>
      </c>
      <c r="CA130" s="1" t="str" cm="1">
        <f t="array" ref="CA130:CB148">_xlfn.LET(  _xlpm.noms, TRANSPOSE(INDEX(C9:BF9,_xlfn.SEQUENCE(1,COLUMNS(C9:BF9)/2,1,2))),_xlpm.moy,  TRANSPOSE(INDEX(C1:BF1,,_xlfn.SEQUENCE(1,COLUMNS(C1:BF1)/2,1,2))),_xlpm.ok, ISNUMBER(_xlpm.moy),_xlfn._xlws.SORT(CHOOSE({1,2}, _xlfn._xlws.FILTER(_xlpm.noms, _xlpm.ok), _xlfn._xlws.FILTER(_xlpm.moy, _xlpm.ok)), 2, -1))</f>
        <v>Gauthier</v>
      </c>
      <c r="CB130" s="1">
        <v>7.3913043478260869</v>
      </c>
    </row>
    <row r="131" spans="1:80" x14ac:dyDescent="0.3">
      <c r="A131" s="15" t="s">
        <v>7</v>
      </c>
      <c r="B131" s="15">
        <v>20</v>
      </c>
      <c r="C131" s="15"/>
      <c r="D131" s="15"/>
      <c r="E131" s="15">
        <v>35</v>
      </c>
      <c r="F131" s="15">
        <v>8</v>
      </c>
      <c r="G131" s="15">
        <v>45</v>
      </c>
      <c r="H131" s="15">
        <v>8</v>
      </c>
      <c r="I131" s="15"/>
      <c r="J131" s="15"/>
      <c r="K131" s="15"/>
      <c r="L131" s="15"/>
      <c r="M131" s="15">
        <v>27</v>
      </c>
      <c r="N131" s="15">
        <v>8</v>
      </c>
      <c r="O131" s="15"/>
      <c r="P131" s="15"/>
      <c r="Q131" s="15"/>
      <c r="R131" s="15"/>
      <c r="S131" s="15">
        <v>78</v>
      </c>
      <c r="T131" s="15">
        <v>8</v>
      </c>
      <c r="U131" s="15"/>
      <c r="V131" s="15"/>
      <c r="W131" s="15"/>
      <c r="X131" s="15"/>
      <c r="Y131" s="15"/>
      <c r="Z131" s="15"/>
      <c r="AA131" s="15"/>
      <c r="AB131" s="15"/>
      <c r="AC131" s="15"/>
      <c r="AD131" s="15"/>
      <c r="AE131" s="15"/>
      <c r="AF131" s="15"/>
      <c r="AG131" s="15"/>
      <c r="AH131" s="15"/>
      <c r="AI131" s="15"/>
      <c r="AJ131" s="15"/>
      <c r="AK131" s="15"/>
      <c r="AL131" s="15"/>
      <c r="AM131" s="15"/>
      <c r="AN131" s="15"/>
      <c r="AO131" s="15"/>
      <c r="AP131" s="15"/>
      <c r="AQ131" s="15"/>
      <c r="AR131" s="15"/>
      <c r="AS131" s="15"/>
      <c r="AT131" s="15"/>
      <c r="AU131" s="15"/>
      <c r="AV131" s="15"/>
      <c r="AW131" s="15"/>
      <c r="AX131" s="15"/>
      <c r="AY131" s="15"/>
      <c r="BV131" s="1" t="str">
        <v>Boris</v>
      </c>
      <c r="BW131" s="1">
        <v>7.2625615763546794</v>
      </c>
      <c r="BX131" s="1">
        <v>1015</v>
      </c>
      <c r="CA131" s="1" t="str">
        <v>Boris</v>
      </c>
      <c r="CB131" s="1">
        <v>7.2625615763546794</v>
      </c>
    </row>
    <row r="132" spans="1:80" x14ac:dyDescent="0.3">
      <c r="A132" s="15" t="s">
        <v>7</v>
      </c>
      <c r="B132" s="15">
        <v>19</v>
      </c>
      <c r="C132" s="15">
        <v>2</v>
      </c>
      <c r="D132" s="15">
        <v>7</v>
      </c>
      <c r="E132" s="15">
        <v>57</v>
      </c>
      <c r="F132" s="15">
        <v>7</v>
      </c>
      <c r="G132" s="15">
        <v>73</v>
      </c>
      <c r="H132" s="15">
        <v>7</v>
      </c>
      <c r="I132" s="15"/>
      <c r="J132" s="15"/>
      <c r="K132" s="15"/>
      <c r="L132" s="15"/>
      <c r="M132" s="15"/>
      <c r="N132" s="15"/>
      <c r="O132" s="15"/>
      <c r="P132" s="15"/>
      <c r="Q132" s="15"/>
      <c r="R132" s="15"/>
      <c r="S132" s="15">
        <v>29</v>
      </c>
      <c r="T132" s="15">
        <v>7</v>
      </c>
      <c r="U132" s="15"/>
      <c r="V132" s="15"/>
      <c r="W132" s="15"/>
      <c r="X132" s="15"/>
      <c r="Y132" s="15"/>
      <c r="Z132" s="15"/>
      <c r="AA132" s="15"/>
      <c r="AB132" s="15"/>
      <c r="AC132" s="15"/>
      <c r="AD132" s="15"/>
      <c r="AE132" s="15"/>
      <c r="AF132" s="15"/>
      <c r="AG132" s="15"/>
      <c r="AH132" s="15"/>
      <c r="AI132" s="15"/>
      <c r="AJ132" s="15"/>
      <c r="AK132" s="15"/>
      <c r="AL132" s="15"/>
      <c r="AM132" s="15"/>
      <c r="AN132" s="15"/>
      <c r="AO132" s="15"/>
      <c r="AP132" s="15"/>
      <c r="AQ132" s="15"/>
      <c r="AR132" s="15"/>
      <c r="AS132" s="15"/>
      <c r="AT132" s="15"/>
      <c r="AU132" s="15"/>
      <c r="AV132" s="15"/>
      <c r="AW132" s="15"/>
      <c r="AX132" s="15"/>
      <c r="AY132" s="15"/>
      <c r="BV132" s="1" t="str">
        <v>Célian</v>
      </c>
      <c r="BW132" s="1">
        <v>6.2357723577235769</v>
      </c>
      <c r="BX132" s="1">
        <v>246</v>
      </c>
      <c r="CA132" s="1" t="str">
        <v>Célian</v>
      </c>
      <c r="CB132" s="1">
        <v>6.2357723577235769</v>
      </c>
    </row>
    <row r="133" spans="1:80" x14ac:dyDescent="0.3">
      <c r="A133" s="15" t="s">
        <v>7</v>
      </c>
      <c r="B133" s="15">
        <v>18</v>
      </c>
      <c r="C133" s="15">
        <v>50</v>
      </c>
      <c r="D133" s="15">
        <v>10</v>
      </c>
      <c r="E133" s="15"/>
      <c r="F133" s="15"/>
      <c r="G133" s="15">
        <v>103</v>
      </c>
      <c r="H133" s="15">
        <v>10</v>
      </c>
      <c r="I133" s="15"/>
      <c r="J133" s="15"/>
      <c r="K133" s="15"/>
      <c r="L133" s="15"/>
      <c r="M133" s="15"/>
      <c r="N133" s="15"/>
      <c r="O133" s="15"/>
      <c r="P133" s="15"/>
      <c r="Q133" s="15">
        <v>44</v>
      </c>
      <c r="R133" s="15">
        <v>10</v>
      </c>
      <c r="S133" s="15"/>
      <c r="T133" s="15"/>
      <c r="U133" s="15">
        <v>2</v>
      </c>
      <c r="V133" s="15">
        <v>10</v>
      </c>
      <c r="W133" s="15"/>
      <c r="X133" s="15"/>
      <c r="Y133" s="15"/>
      <c r="Z133" s="15"/>
      <c r="AA133" s="15"/>
      <c r="AB133" s="15"/>
      <c r="AC133" s="15"/>
      <c r="AD133" s="15"/>
      <c r="AE133" s="15"/>
      <c r="AF133" s="15"/>
      <c r="AG133" s="15"/>
      <c r="AH133" s="15"/>
      <c r="AI133" s="15"/>
      <c r="AJ133" s="15"/>
      <c r="AK133" s="15"/>
      <c r="AL133" s="15"/>
      <c r="AM133" s="15"/>
      <c r="AN133" s="15"/>
      <c r="AO133" s="15"/>
      <c r="AP133" s="15"/>
      <c r="AQ133" s="15"/>
      <c r="AR133" s="15"/>
      <c r="AS133" s="15"/>
      <c r="AT133" s="15"/>
      <c r="AU133" s="15"/>
      <c r="AV133" s="15"/>
      <c r="AW133" s="15"/>
      <c r="AX133" s="15"/>
      <c r="AY133" s="15"/>
      <c r="BV133" s="1" t="str">
        <v>Joachim</v>
      </c>
      <c r="BW133" s="1">
        <v>6.2019230769230766</v>
      </c>
      <c r="BX133" s="1">
        <v>104</v>
      </c>
      <c r="CA133" s="1" t="str">
        <v>Joachim</v>
      </c>
      <c r="CB133" s="1">
        <v>6.2019230769230766</v>
      </c>
    </row>
    <row r="134" spans="1:80" x14ac:dyDescent="0.3">
      <c r="A134" s="15" t="s">
        <v>7</v>
      </c>
      <c r="B134" s="15">
        <v>17</v>
      </c>
      <c r="C134" s="15">
        <v>28</v>
      </c>
      <c r="D134" s="15">
        <v>8</v>
      </c>
      <c r="E134" s="15">
        <v>8</v>
      </c>
      <c r="F134" s="15">
        <v>8</v>
      </c>
      <c r="G134" s="15">
        <v>94</v>
      </c>
      <c r="H134" s="15">
        <v>8</v>
      </c>
      <c r="I134" s="15"/>
      <c r="J134" s="15"/>
      <c r="K134" s="15"/>
      <c r="L134" s="15"/>
      <c r="M134" s="15">
        <v>39</v>
      </c>
      <c r="N134" s="15">
        <v>8</v>
      </c>
      <c r="O134" s="15"/>
      <c r="P134" s="15"/>
      <c r="Q134" s="15"/>
      <c r="R134" s="15"/>
      <c r="S134" s="15"/>
      <c r="T134" s="15"/>
      <c r="U134" s="15"/>
      <c r="V134" s="15"/>
      <c r="W134" s="15"/>
      <c r="X134" s="15"/>
      <c r="Y134" s="15"/>
      <c r="Z134" s="15"/>
      <c r="AA134" s="15"/>
      <c r="AB134" s="15"/>
      <c r="AC134" s="15"/>
      <c r="AD134" s="15"/>
      <c r="AE134" s="15"/>
      <c r="AF134" s="15"/>
      <c r="AG134" s="15"/>
      <c r="AH134" s="15"/>
      <c r="AI134" s="15"/>
      <c r="AJ134" s="15"/>
      <c r="AK134" s="15"/>
      <c r="AL134" s="15"/>
      <c r="AM134" s="15"/>
      <c r="AN134" s="15"/>
      <c r="AO134" s="15"/>
      <c r="AP134" s="15"/>
      <c r="AQ134" s="15"/>
      <c r="AR134" s="15"/>
      <c r="AS134" s="15"/>
      <c r="AT134" s="15"/>
      <c r="AU134" s="15"/>
      <c r="AV134" s="15"/>
      <c r="AW134" s="15"/>
      <c r="AX134" s="15"/>
      <c r="AY134" s="15"/>
      <c r="BV134" s="1" t="str">
        <v>Tom</v>
      </c>
      <c r="BW134" s="1">
        <v>6.1088082901554408</v>
      </c>
      <c r="BX134" s="1">
        <v>193</v>
      </c>
      <c r="CA134" s="1" t="str">
        <v>Tom</v>
      </c>
      <c r="CB134" s="1">
        <v>6.1088082901554408</v>
      </c>
    </row>
    <row r="135" spans="1:80" x14ac:dyDescent="0.3">
      <c r="A135" s="15" t="s">
        <v>7</v>
      </c>
      <c r="B135" s="15">
        <v>16</v>
      </c>
      <c r="C135" s="15">
        <v>59</v>
      </c>
      <c r="D135" s="15">
        <v>11</v>
      </c>
      <c r="E135" s="15">
        <v>99</v>
      </c>
      <c r="F135" s="15">
        <v>11</v>
      </c>
      <c r="G135" s="15">
        <v>46</v>
      </c>
      <c r="H135" s="15">
        <v>11</v>
      </c>
      <c r="I135" s="15">
        <v>42</v>
      </c>
      <c r="J135" s="15">
        <v>11</v>
      </c>
      <c r="K135" s="15"/>
      <c r="L135" s="15"/>
      <c r="M135" s="15"/>
      <c r="N135" s="15"/>
      <c r="O135" s="15"/>
      <c r="P135" s="15"/>
      <c r="Q135" s="15"/>
      <c r="R135" s="15"/>
      <c r="S135" s="15"/>
      <c r="T135" s="15"/>
      <c r="U135" s="15"/>
      <c r="V135" s="15"/>
      <c r="W135" s="15"/>
      <c r="X135" s="15"/>
      <c r="Y135" s="15"/>
      <c r="Z135" s="15"/>
      <c r="AA135" s="15"/>
      <c r="AB135" s="15"/>
      <c r="AC135" s="15"/>
      <c r="AD135" s="15"/>
      <c r="AE135" s="15"/>
      <c r="AF135" s="15"/>
      <c r="AG135" s="15"/>
      <c r="AH135" s="15"/>
      <c r="AI135" s="15"/>
      <c r="AJ135" s="15"/>
      <c r="AK135" s="15"/>
      <c r="AL135" s="15"/>
      <c r="AM135" s="15"/>
      <c r="AN135" s="15"/>
      <c r="AO135" s="15"/>
      <c r="AP135" s="15"/>
      <c r="AQ135" s="15"/>
      <c r="AR135" s="15"/>
      <c r="AS135" s="15"/>
      <c r="AT135" s="15"/>
      <c r="AU135" s="15"/>
      <c r="AV135" s="15"/>
      <c r="AW135" s="15"/>
      <c r="AX135" s="15"/>
      <c r="AY135" s="15"/>
      <c r="BV135" s="1" t="str">
        <v>William</v>
      </c>
      <c r="BW135" s="1">
        <v>6.068965517241379</v>
      </c>
      <c r="BX135" s="1">
        <v>29</v>
      </c>
      <c r="CA135" s="1" t="str">
        <v>William</v>
      </c>
      <c r="CB135" s="1">
        <v>6.068965517241379</v>
      </c>
    </row>
    <row r="136" spans="1:80" x14ac:dyDescent="0.3">
      <c r="A136" s="15" t="s">
        <v>7</v>
      </c>
      <c r="B136" s="15">
        <v>15</v>
      </c>
      <c r="C136" s="15">
        <v>21</v>
      </c>
      <c r="D136" s="15">
        <v>12</v>
      </c>
      <c r="E136" s="15">
        <v>61</v>
      </c>
      <c r="F136" s="15">
        <v>12</v>
      </c>
      <c r="G136" s="15">
        <v>91</v>
      </c>
      <c r="H136" s="15">
        <v>12</v>
      </c>
      <c r="I136" s="15"/>
      <c r="J136" s="15"/>
      <c r="K136" s="15"/>
      <c r="L136" s="15"/>
      <c r="M136" s="15"/>
      <c r="N136" s="15"/>
      <c r="O136" s="15">
        <v>70</v>
      </c>
      <c r="P136" s="15">
        <v>12</v>
      </c>
      <c r="Q136" s="15"/>
      <c r="R136" s="15"/>
      <c r="S136" s="15"/>
      <c r="T136" s="15"/>
      <c r="U136" s="15"/>
      <c r="V136" s="15"/>
      <c r="W136" s="15"/>
      <c r="X136" s="15"/>
      <c r="Y136" s="15"/>
      <c r="Z136" s="15"/>
      <c r="AA136" s="15"/>
      <c r="AB136" s="15"/>
      <c r="AC136" s="15"/>
      <c r="AD136" s="15"/>
      <c r="AE136" s="15"/>
      <c r="AF136" s="15"/>
      <c r="AG136" s="15"/>
      <c r="AH136" s="15"/>
      <c r="AI136" s="15"/>
      <c r="AJ136" s="15"/>
      <c r="AK136" s="15"/>
      <c r="AL136" s="15"/>
      <c r="AM136" s="15"/>
      <c r="AN136" s="15"/>
      <c r="AO136" s="15"/>
      <c r="AP136" s="15"/>
      <c r="AQ136" s="15"/>
      <c r="AR136" s="15"/>
      <c r="AS136" s="15"/>
      <c r="AT136" s="15"/>
      <c r="AU136" s="15"/>
      <c r="AV136" s="15"/>
      <c r="AW136" s="15"/>
      <c r="AX136" s="15"/>
      <c r="AY136" s="15"/>
      <c r="BV136" s="1" t="str">
        <v>Samuel</v>
      </c>
      <c r="BW136" s="1">
        <v>5.9099526066350707</v>
      </c>
      <c r="BX136" s="1">
        <v>211</v>
      </c>
      <c r="CA136" s="1" t="str">
        <v>Samuel</v>
      </c>
      <c r="CB136" s="1">
        <v>5.9099526066350707</v>
      </c>
    </row>
    <row r="137" spans="1:80" x14ac:dyDescent="0.3">
      <c r="A137" s="15" t="s">
        <v>7</v>
      </c>
      <c r="B137" s="15">
        <v>14</v>
      </c>
      <c r="C137" s="15">
        <v>29</v>
      </c>
      <c r="D137" s="15">
        <v>12</v>
      </c>
      <c r="E137" s="15">
        <v>55</v>
      </c>
      <c r="F137" s="15">
        <v>12</v>
      </c>
      <c r="G137" s="15">
        <v>107</v>
      </c>
      <c r="H137" s="15">
        <v>12</v>
      </c>
      <c r="I137" s="15">
        <v>81</v>
      </c>
      <c r="J137" s="15">
        <v>12</v>
      </c>
      <c r="K137" s="15">
        <v>84</v>
      </c>
      <c r="L137" s="15">
        <v>12</v>
      </c>
      <c r="M137" s="15"/>
      <c r="N137" s="15"/>
      <c r="O137" s="15"/>
      <c r="P137" s="15"/>
      <c r="Q137" s="15"/>
      <c r="R137" s="15"/>
      <c r="S137" s="15"/>
      <c r="T137" s="15"/>
      <c r="U137" s="15"/>
      <c r="V137" s="15"/>
      <c r="W137" s="15"/>
      <c r="X137" s="15"/>
      <c r="Y137" s="15"/>
      <c r="Z137" s="15"/>
      <c r="AA137" s="15"/>
      <c r="AB137" s="15"/>
      <c r="AC137" s="15"/>
      <c r="AD137" s="15"/>
      <c r="AE137" s="15"/>
      <c r="AF137" s="15"/>
      <c r="AG137" s="15"/>
      <c r="AH137" s="15"/>
      <c r="AI137" s="15"/>
      <c r="AJ137" s="15"/>
      <c r="AK137" s="15"/>
      <c r="AL137" s="15"/>
      <c r="AM137" s="15"/>
      <c r="AN137" s="15"/>
      <c r="AO137" s="15"/>
      <c r="AP137" s="15"/>
      <c r="AQ137" s="15"/>
      <c r="AR137" s="15"/>
      <c r="AS137" s="15"/>
      <c r="AT137" s="15"/>
      <c r="AU137" s="15"/>
      <c r="AV137" s="15"/>
      <c r="AW137" s="15"/>
      <c r="AX137" s="15"/>
      <c r="AY137" s="15"/>
      <c r="BV137" s="1" t="str">
        <v>Mehdi</v>
      </c>
      <c r="BW137" s="1">
        <v>5.7695961995249405</v>
      </c>
      <c r="BX137" s="1">
        <v>421</v>
      </c>
      <c r="CA137" s="1" t="str">
        <v>Mehdi</v>
      </c>
      <c r="CB137" s="1">
        <v>5.7695961995249405</v>
      </c>
    </row>
    <row r="138" spans="1:80" x14ac:dyDescent="0.3">
      <c r="A138" s="15" t="s">
        <v>7</v>
      </c>
      <c r="B138" s="15">
        <v>13</v>
      </c>
      <c r="C138" s="15">
        <v>162</v>
      </c>
      <c r="D138" s="15">
        <v>20</v>
      </c>
      <c r="E138" s="15">
        <v>125</v>
      </c>
      <c r="F138" s="15">
        <v>20</v>
      </c>
      <c r="G138" s="15">
        <v>87</v>
      </c>
      <c r="H138" s="15">
        <v>20</v>
      </c>
      <c r="I138" s="15">
        <v>150</v>
      </c>
      <c r="J138" s="15">
        <v>20</v>
      </c>
      <c r="K138" s="15"/>
      <c r="L138" s="15"/>
      <c r="M138" s="15"/>
      <c r="N138" s="15"/>
      <c r="O138" s="15"/>
      <c r="P138" s="15"/>
      <c r="Q138" s="15"/>
      <c r="R138" s="15"/>
      <c r="S138" s="15"/>
      <c r="T138" s="15"/>
      <c r="U138" s="15"/>
      <c r="V138" s="15"/>
      <c r="W138" s="15"/>
      <c r="X138" s="15"/>
      <c r="Y138" s="15"/>
      <c r="Z138" s="15"/>
      <c r="AA138" s="15"/>
      <c r="AB138" s="15"/>
      <c r="AC138" s="15"/>
      <c r="AD138" s="15"/>
      <c r="AE138" s="15"/>
      <c r="AF138" s="15"/>
      <c r="AG138" s="15"/>
      <c r="AH138" s="15"/>
      <c r="AI138" s="15"/>
      <c r="AJ138" s="15"/>
      <c r="AK138" s="15"/>
      <c r="AL138" s="15"/>
      <c r="AM138" s="15"/>
      <c r="AN138" s="15"/>
      <c r="AO138" s="15"/>
      <c r="AP138" s="15"/>
      <c r="AQ138" s="15"/>
      <c r="AR138" s="15"/>
      <c r="AS138" s="15"/>
      <c r="AT138" s="15"/>
      <c r="AU138" s="15"/>
      <c r="AV138" s="15"/>
      <c r="AW138" s="15"/>
      <c r="AX138" s="15"/>
      <c r="AY138" s="15"/>
      <c r="BV138" s="1" t="str">
        <v>Damien</v>
      </c>
      <c r="BW138" s="1">
        <v>5.5986509274873528</v>
      </c>
      <c r="BX138" s="1">
        <v>593</v>
      </c>
      <c r="CA138" s="1" t="str">
        <v>Damien</v>
      </c>
      <c r="CB138" s="1">
        <v>5.5986509274873528</v>
      </c>
    </row>
    <row r="139" spans="1:80" x14ac:dyDescent="0.3">
      <c r="A139" s="1" t="s">
        <v>25</v>
      </c>
      <c r="B139" s="1" t="s">
        <v>26</v>
      </c>
      <c r="BV139" s="1" t="str">
        <v>Achille</v>
      </c>
      <c r="BW139" s="1">
        <v>5.3470873786407767</v>
      </c>
      <c r="BX139" s="1">
        <v>824</v>
      </c>
      <c r="CA139" s="1" t="str">
        <v>Lou</v>
      </c>
      <c r="CB139" s="1">
        <v>5.5526315789473681</v>
      </c>
    </row>
    <row r="140" spans="1:80" x14ac:dyDescent="0.3">
      <c r="A140" s="1" t="s">
        <v>7</v>
      </c>
      <c r="B140" s="1">
        <v>12</v>
      </c>
      <c r="C140" s="1">
        <v>91</v>
      </c>
      <c r="D140" s="1">
        <v>11</v>
      </c>
      <c r="G140" s="1">
        <v>40</v>
      </c>
      <c r="H140" s="1">
        <v>11</v>
      </c>
      <c r="U140" s="1">
        <v>64</v>
      </c>
      <c r="V140" s="1">
        <v>11</v>
      </c>
      <c r="Y140" s="1">
        <v>64</v>
      </c>
      <c r="Z140" s="1">
        <v>11</v>
      </c>
      <c r="BV140" s="1" t="str">
        <v>Quentin</v>
      </c>
      <c r="BW140" s="1">
        <v>5.0149253731343286</v>
      </c>
      <c r="BX140" s="1">
        <v>67</v>
      </c>
      <c r="CA140" s="1" t="str">
        <v>Achille</v>
      </c>
      <c r="CB140" s="1">
        <v>5.3470873786407767</v>
      </c>
    </row>
    <row r="141" spans="1:80" x14ac:dyDescent="0.3">
      <c r="A141" s="1" t="s">
        <v>7</v>
      </c>
      <c r="B141" s="1">
        <v>11</v>
      </c>
      <c r="C141" s="1">
        <v>64</v>
      </c>
      <c r="D141" s="1">
        <v>20</v>
      </c>
      <c r="E141" s="1">
        <v>87</v>
      </c>
      <c r="F141" s="1">
        <v>20</v>
      </c>
      <c r="G141" s="1">
        <v>185</v>
      </c>
      <c r="H141" s="1">
        <v>20</v>
      </c>
      <c r="M141" s="1">
        <v>134</v>
      </c>
      <c r="N141" s="1">
        <v>20</v>
      </c>
      <c r="BV141" s="1" t="str">
        <v>Paul</v>
      </c>
      <c r="BW141" s="1">
        <v>4.8125</v>
      </c>
      <c r="BX141" s="1">
        <v>32</v>
      </c>
      <c r="CA141" s="1" t="str">
        <v>Quentin</v>
      </c>
      <c r="CB141" s="1">
        <v>5.0149253731343286</v>
      </c>
    </row>
    <row r="142" spans="1:80" x14ac:dyDescent="0.3">
      <c r="A142" s="1" t="s">
        <v>7</v>
      </c>
      <c r="B142" s="1">
        <v>10</v>
      </c>
      <c r="C142" s="1">
        <v>-2</v>
      </c>
      <c r="D142" s="1">
        <v>8</v>
      </c>
      <c r="G142" s="1">
        <v>65</v>
      </c>
      <c r="H142" s="1">
        <v>8</v>
      </c>
      <c r="K142" s="1">
        <v>44</v>
      </c>
      <c r="L142" s="1">
        <v>8</v>
      </c>
      <c r="M142" s="1">
        <v>80</v>
      </c>
      <c r="N142" s="1">
        <v>8</v>
      </c>
      <c r="BV142" s="1" t="str">
        <v>Jules</v>
      </c>
      <c r="BW142" s="1">
        <v>4.7410071942446042</v>
      </c>
      <c r="BX142" s="1">
        <v>139</v>
      </c>
      <c r="CA142" s="1" t="str">
        <v>Paul</v>
      </c>
      <c r="CB142" s="1">
        <v>4.8125</v>
      </c>
    </row>
    <row r="143" spans="1:80" x14ac:dyDescent="0.3">
      <c r="A143" s="1" t="s">
        <v>7</v>
      </c>
      <c r="B143" s="1">
        <v>9</v>
      </c>
      <c r="C143" s="1">
        <v>45</v>
      </c>
      <c r="D143" s="1">
        <v>9</v>
      </c>
      <c r="G143" s="1">
        <v>47</v>
      </c>
      <c r="H143" s="1">
        <v>9</v>
      </c>
      <c r="Y143" s="1">
        <v>44</v>
      </c>
      <c r="Z143" s="1">
        <v>9</v>
      </c>
      <c r="AA143" s="1">
        <v>42</v>
      </c>
      <c r="AB143" s="1">
        <v>9</v>
      </c>
      <c r="BV143" s="1" t="str">
        <v>Marie</v>
      </c>
      <c r="BW143" s="1">
        <v>4.21875</v>
      </c>
      <c r="BX143" s="1">
        <v>208</v>
      </c>
      <c r="CA143" s="1" t="str">
        <v>Jules</v>
      </c>
      <c r="CB143" s="1">
        <v>4.7410071942446042</v>
      </c>
    </row>
    <row r="144" spans="1:80" x14ac:dyDescent="0.3">
      <c r="A144" s="1" t="s">
        <v>7</v>
      </c>
      <c r="B144" s="1">
        <v>8</v>
      </c>
      <c r="C144" s="1">
        <v>61</v>
      </c>
      <c r="D144" s="1">
        <v>12</v>
      </c>
      <c r="G144" s="1">
        <v>96</v>
      </c>
      <c r="H144" s="1">
        <v>12</v>
      </c>
      <c r="Y144" s="1">
        <v>46</v>
      </c>
      <c r="Z144" s="1">
        <v>12</v>
      </c>
      <c r="AA144" s="1">
        <v>47</v>
      </c>
      <c r="AB144" s="1">
        <v>12</v>
      </c>
      <c r="BV144" s="1" t="str">
        <v>Luca</v>
      </c>
      <c r="BW144" s="1">
        <v>3.0112359550561796</v>
      </c>
      <c r="BX144" s="1">
        <v>178</v>
      </c>
      <c r="CA144" s="1" t="str">
        <v>Marie</v>
      </c>
      <c r="CB144" s="1">
        <v>4.21875</v>
      </c>
    </row>
    <row r="145" spans="1:80" x14ac:dyDescent="0.3">
      <c r="A145" s="1" t="s">
        <v>7</v>
      </c>
      <c r="B145" s="1">
        <v>7</v>
      </c>
      <c r="C145" s="1">
        <v>36</v>
      </c>
      <c r="D145" s="1">
        <v>2</v>
      </c>
      <c r="E145" s="1">
        <v>0</v>
      </c>
      <c r="F145" s="1">
        <v>2</v>
      </c>
      <c r="G145" s="1">
        <v>0</v>
      </c>
      <c r="H145" s="1">
        <v>2</v>
      </c>
      <c r="O145" s="1">
        <v>12</v>
      </c>
      <c r="P145" s="1">
        <v>2</v>
      </c>
      <c r="BV145" s="1" t="str">
        <v>Fantinne</v>
      </c>
      <c r="BW145" s="1">
        <v>2.9607843137254903</v>
      </c>
      <c r="BX145" s="1">
        <v>51</v>
      </c>
      <c r="CA145" s="1" t="str">
        <v>Luca</v>
      </c>
      <c r="CB145" s="1">
        <v>3.0112359550561796</v>
      </c>
    </row>
    <row r="146" spans="1:80" x14ac:dyDescent="0.3">
      <c r="A146" s="1" t="s">
        <v>7</v>
      </c>
      <c r="B146" s="1">
        <v>6</v>
      </c>
      <c r="C146" s="1">
        <v>99</v>
      </c>
      <c r="D146" s="1">
        <v>13</v>
      </c>
      <c r="E146" s="1">
        <v>23</v>
      </c>
      <c r="F146" s="1">
        <v>13</v>
      </c>
      <c r="G146" s="1">
        <v>90</v>
      </c>
      <c r="H146" s="1">
        <v>13</v>
      </c>
      <c r="I146" s="1">
        <v>131</v>
      </c>
      <c r="J146" s="1">
        <v>13</v>
      </c>
      <c r="BV146" s="1" t="str">
        <v>Joey</v>
      </c>
      <c r="BW146" s="1">
        <v>2.9333333333333331</v>
      </c>
      <c r="BX146" s="1">
        <v>60</v>
      </c>
      <c r="CA146" s="1" t="str">
        <v>Fantinne</v>
      </c>
      <c r="CB146" s="1">
        <v>2.9607843137254903</v>
      </c>
    </row>
    <row r="147" spans="1:80" x14ac:dyDescent="0.3">
      <c r="A147" s="1" t="s">
        <v>7</v>
      </c>
      <c r="B147" s="1">
        <v>5</v>
      </c>
      <c r="C147" s="1">
        <v>56</v>
      </c>
      <c r="D147" s="1">
        <v>9</v>
      </c>
      <c r="E147" s="1">
        <v>35</v>
      </c>
      <c r="F147" s="1">
        <v>9</v>
      </c>
      <c r="G147" s="1">
        <v>106</v>
      </c>
      <c r="H147" s="1">
        <v>9</v>
      </c>
      <c r="W147" s="1">
        <v>55</v>
      </c>
      <c r="X147" s="1">
        <v>9</v>
      </c>
      <c r="BV147" s="1" t="str">
        <v>Loulou</v>
      </c>
      <c r="BW147" s="1">
        <v>2.0746268656716418</v>
      </c>
      <c r="BX147" s="1">
        <v>67</v>
      </c>
      <c r="CA147" s="1" t="str">
        <v>Joey</v>
      </c>
      <c r="CB147" s="1">
        <v>2.9333333333333331</v>
      </c>
    </row>
    <row r="148" spans="1:80" x14ac:dyDescent="0.3">
      <c r="A148" s="1" t="s">
        <v>7</v>
      </c>
      <c r="B148" s="1">
        <v>4</v>
      </c>
      <c r="C148" s="1">
        <v>83</v>
      </c>
      <c r="D148" s="1">
        <v>11</v>
      </c>
      <c r="E148" s="1">
        <v>8</v>
      </c>
      <c r="F148" s="1">
        <v>11</v>
      </c>
      <c r="G148" s="1">
        <v>110</v>
      </c>
      <c r="H148" s="1">
        <v>11</v>
      </c>
      <c r="I148" s="1">
        <v>57</v>
      </c>
      <c r="J148" s="1">
        <v>11</v>
      </c>
      <c r="CA148" s="1" t="str">
        <v>Loulou</v>
      </c>
      <c r="CB148" s="1">
        <v>2.0746268656716418</v>
      </c>
    </row>
    <row r="149" spans="1:80" x14ac:dyDescent="0.3">
      <c r="A149" s="1" t="s">
        <v>7</v>
      </c>
      <c r="B149" s="1">
        <v>3</v>
      </c>
      <c r="C149" s="1">
        <v>71</v>
      </c>
      <c r="D149" s="1">
        <v>13</v>
      </c>
      <c r="G149" s="1">
        <v>88</v>
      </c>
      <c r="H149" s="1">
        <v>13</v>
      </c>
      <c r="I149" s="1">
        <v>116</v>
      </c>
      <c r="J149" s="1">
        <v>13</v>
      </c>
      <c r="M149" s="1">
        <v>29</v>
      </c>
      <c r="N149" s="1">
        <v>13</v>
      </c>
    </row>
    <row r="150" spans="1:80" x14ac:dyDescent="0.3">
      <c r="A150" s="1" t="s">
        <v>7</v>
      </c>
      <c r="B150" s="1">
        <v>2</v>
      </c>
      <c r="C150" s="1">
        <v>21</v>
      </c>
      <c r="D150" s="1">
        <v>15</v>
      </c>
      <c r="E150" s="1">
        <v>33</v>
      </c>
      <c r="F150" s="1">
        <v>15</v>
      </c>
      <c r="G150" s="1">
        <v>90</v>
      </c>
      <c r="H150" s="1">
        <v>15</v>
      </c>
      <c r="I150" s="1">
        <v>99</v>
      </c>
      <c r="J150" s="1">
        <v>15</v>
      </c>
    </row>
    <row r="151" spans="1:80" x14ac:dyDescent="0.3">
      <c r="A151" s="1" t="s">
        <v>7</v>
      </c>
      <c r="B151" s="1">
        <v>1</v>
      </c>
      <c r="C151" s="1">
        <v>-5</v>
      </c>
      <c r="D151" s="1">
        <v>12</v>
      </c>
      <c r="E151" s="1">
        <v>88</v>
      </c>
      <c r="F151" s="1">
        <v>12</v>
      </c>
      <c r="G151" s="1">
        <v>64</v>
      </c>
      <c r="H151" s="1">
        <v>12</v>
      </c>
      <c r="I151" s="1">
        <v>95</v>
      </c>
      <c r="J151" s="1">
        <v>12</v>
      </c>
    </row>
  </sheetData>
  <sortState xmlns:xlrd2="http://schemas.microsoft.com/office/spreadsheetml/2017/richdata2" ref="A140:AM151">
    <sortCondition descending="1" ref="B140:B151"/>
  </sortState>
  <mergeCells count="28">
    <mergeCell ref="BA9:BB9"/>
    <mergeCell ref="BC9:BD9"/>
    <mergeCell ref="BE9:BF9"/>
    <mergeCell ref="Y9:Z9"/>
    <mergeCell ref="C9:D9"/>
    <mergeCell ref="E9:F9"/>
    <mergeCell ref="G9:H9"/>
    <mergeCell ref="I9:J9"/>
    <mergeCell ref="K9:L9"/>
    <mergeCell ref="M9:N9"/>
    <mergeCell ref="O9:P9"/>
    <mergeCell ref="Q9:R9"/>
    <mergeCell ref="S9:T9"/>
    <mergeCell ref="U9:V9"/>
    <mergeCell ref="W9:X9"/>
    <mergeCell ref="AW9:AX9"/>
    <mergeCell ref="AY9:AZ9"/>
    <mergeCell ref="AA9:AB9"/>
    <mergeCell ref="AC9:AD9"/>
    <mergeCell ref="AE9:AF9"/>
    <mergeCell ref="AK9:AL9"/>
    <mergeCell ref="AI9:AJ9"/>
    <mergeCell ref="AG9:AH9"/>
    <mergeCell ref="AM9:AN9"/>
    <mergeCell ref="AO9:AP9"/>
    <mergeCell ref="AQ9:AR9"/>
    <mergeCell ref="AS9:AT9"/>
    <mergeCell ref="AU9:AV9"/>
  </mergeCells>
  <conditionalFormatting sqref="C1 E1 G1 I1 K1 M1 O1 Q1 S1 U1 W1 Y1 AA1 AC1 AE1 AG1 AI1 AK1 AM1 AO1 AQ1 AS1 AU1 AW1 AY1 BA1 BC1 BE1 C9:AM9 AO9 AQ9 AS9 AU9 AW9 AY9 BA9 BC9 BE9">
    <cfRule type="expression" dxfId="24" priority="41" stopIfTrue="1">
      <formula>NOT(OR("/"=C$1,AVERAGE($C$1:$AZ$1)&lt;C$1,SMALL($C$1:$AZ$1,1)=C$1,SMALL($C$1:$AZ$1,2)=C$1,SMALL($C$1:$AZ$1,3)=C$1,LARGE($C$1:$AZ$1,1)=C$1,LARGE($C$1:$AZ$1,2)=C$1,LARGE($C$1:$AZ$1,3)=C$1))</formula>
    </cfRule>
    <cfRule type="expression" dxfId="23" priority="43" stopIfTrue="1">
      <formula>("/"=C$1)</formula>
    </cfRule>
    <cfRule type="expression" dxfId="22" priority="44" stopIfTrue="1">
      <formula>NOT(OR("/"=C$1,AVERAGE($C$1:$AZ$1)&gt;C$1,SMALL($C$1:$AZ$1,1)=C$1,SMALL($C$1:$AZ$1,2)=C$1,SMALL($C$1:$AZ$1,3)=C$1,LARGE($C$1:$AZ$1,1)=C$1,LARGE($C$1:$AZ$1,2)=C$1,LARGE($C$1:$AZ$1,3)=C$1))</formula>
    </cfRule>
    <cfRule type="expression" dxfId="21" priority="82" stopIfTrue="1">
      <formula>SMALL($C$1:$AZ$1,3)=C$1</formula>
    </cfRule>
    <cfRule type="expression" dxfId="20" priority="83" stopIfTrue="1">
      <formula>SMALL($C$1:$AZ$1,2)=C$1</formula>
    </cfRule>
    <cfRule type="expression" dxfId="19" priority="84" stopIfTrue="1">
      <formula>SMALL($C$1:$AZ$1,1)=C$1</formula>
    </cfRule>
    <cfRule type="expression" dxfId="18" priority="85" stopIfTrue="1">
      <formula>LARGE($C$1:$AZ$1,3)=C$1</formula>
    </cfRule>
    <cfRule type="expression" dxfId="17" priority="86" stopIfTrue="1">
      <formula>LARGE($C$1:$AZ$1,2)=C$1</formula>
    </cfRule>
    <cfRule type="expression" dxfId="16" priority="87" stopIfTrue="1">
      <formula>MAX($C$1:$AZ$1)=C$1</formula>
    </cfRule>
  </conditionalFormatting>
  <conditionalFormatting sqref="G10:G58 I10:I58 K10:K58 M10:M58 C10:C151 E10:E151 O10:O151 Q10:Q151 S10:S151 U10:U151 W10:W151 Y10:Y151 AA10:AA151 AC10:AC151 AE10:AE151 AG10:AG151 AI10:AI151 AK10:AK151 AM10:AM151 AO10:AO151 AQ10:AQ151 AS10:AS151 AU10:AU151 AW10:AW151 AY10:AY151 BA10:BA151 BC10:BC151 BE10:BE151 G60:G151 I60:I151 K60:K151 M60:M151">
    <cfRule type="expression" dxfId="15" priority="26" stopIfTrue="1">
      <formula>(C10/D10)&gt;12</formula>
    </cfRule>
    <cfRule type="expression" dxfId="14" priority="28" stopIfTrue="1">
      <formula>(C10/D10)&lt;-2</formula>
    </cfRule>
    <cfRule type="expression" dxfId="13" priority="30" stopIfTrue="1">
      <formula>(C10/D10)&lt;2</formula>
    </cfRule>
    <cfRule type="expression" dxfId="12" priority="32" stopIfTrue="1">
      <formula>(C10/D10)&gt;10</formula>
    </cfRule>
  </conditionalFormatting>
  <conditionalFormatting sqref="H10:H58 J10:J58 L10:L58 N10:N58 D10:D151 F10:F151 P10:P151 R10:R151 T10:T151 V10:V151 X10:X151 Z10:Z151 AB10:AB151 AD10:AD151 AF10:AF151 AH10:AH151 AJ10:AJ151 AL10:AL151 AN10:AN151 AP10:AP151 AR10:AR151 AT10:AT151 AV10:AV151 AX10:AX151 AZ10:AZ151 BB10:BB151 BD10:BD151 BF10:BF151 H60:H151 J60:J151 L60:L151 N60:N151">
    <cfRule type="expression" dxfId="11" priority="25" stopIfTrue="1">
      <formula>(C10/D10)&gt;12</formula>
    </cfRule>
    <cfRule type="expression" dxfId="10" priority="27" stopIfTrue="1">
      <formula>(C10/D10)&lt;-2</formula>
    </cfRule>
    <cfRule type="expression" dxfId="9" priority="29" stopIfTrue="1">
      <formula>(C10/D10)&lt;2</formula>
    </cfRule>
    <cfRule type="expression" dxfId="8" priority="31" stopIfTrue="1">
      <formula>(C10/D10)&gt;10</formula>
    </cfRule>
  </conditionalFormatting>
  <conditionalFormatting sqref="BO72:BO100">
    <cfRule type="cellIs" dxfId="7" priority="3" operator="greaterThan">
      <formula>1000</formula>
    </cfRule>
    <cfRule type="cellIs" dxfId="6" priority="4" operator="between">
      <formula>20</formula>
      <formula>50</formula>
    </cfRule>
    <cfRule type="cellIs" dxfId="5" priority="5" operator="between">
      <formula>50</formula>
      <formula>100</formula>
    </cfRule>
    <cfRule type="cellIs" dxfId="4" priority="6" operator="between">
      <formula>100</formula>
      <formula>250</formula>
    </cfRule>
    <cfRule type="cellIs" dxfId="3" priority="7" operator="between">
      <formula>250</formula>
      <formula>500</formula>
    </cfRule>
    <cfRule type="cellIs" dxfId="2" priority="8" operator="between">
      <formula>500</formula>
      <formula>1000</formula>
    </cfRule>
  </conditionalFormatting>
  <conditionalFormatting sqref="BT72:BT93">
    <cfRule type="cellIs" dxfId="1" priority="1" operator="between">
      <formula>1</formula>
      <formula>10</formula>
    </cfRule>
    <cfRule type="cellIs" dxfId="0" priority="2" operator="between">
      <formula>10</formula>
      <formula>20</formula>
    </cfRule>
  </conditionalFormatting>
  <pageMargins left="0.70000000000000007" right="0.70000000000000007" top="0.75" bottom="0.75" header="0.30000000000000004" footer="0.30000000000000004"/>
  <pageSetup paperSize="9" fitToWidth="0" fitToHeight="0" orientation="portrait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2D977F6-AD3F-47F0-926D-61192148887D}">
  <dimension ref="A1:I20"/>
  <sheetViews>
    <sheetView zoomScale="122" workbookViewId="0">
      <selection activeCell="A2" sqref="A2"/>
    </sheetView>
  </sheetViews>
  <sheetFormatPr baseColWidth="10" defaultRowHeight="14.4" x14ac:dyDescent="0.3"/>
  <cols>
    <col min="2" max="2" width="13.6640625" customWidth="1"/>
    <col min="3" max="3" width="13" customWidth="1"/>
    <col min="4" max="4" width="15.5546875" bestFit="1" customWidth="1"/>
    <col min="5" max="5" width="20.109375" customWidth="1"/>
    <col min="6" max="6" width="18.88671875" customWidth="1"/>
    <col min="7" max="7" width="18" customWidth="1"/>
    <col min="9" max="9" width="15.109375" customWidth="1"/>
    <col min="10" max="10" width="14" customWidth="1"/>
  </cols>
  <sheetData>
    <row r="1" spans="1:9" x14ac:dyDescent="0.3">
      <c r="A1" s="1" t="s">
        <v>8</v>
      </c>
      <c r="B1" s="1" t="s">
        <v>36</v>
      </c>
      <c r="C1" s="1" t="s">
        <v>37</v>
      </c>
      <c r="D1" s="1" t="s">
        <v>42</v>
      </c>
      <c r="F1" t="str" cm="1">
        <f t="array" ref="F1:F10">'All stat'!BP59:BP68</f>
        <v>légende</v>
      </c>
    </row>
    <row r="2" spans="1:9" x14ac:dyDescent="0.3">
      <c r="A2" s="25" cm="1">
        <f t="array" ref="A2:D20">_xlfn.ANCHORARRAY('All stat'!BL72)</f>
        <v>1</v>
      </c>
      <c r="B2" s="25" t="str">
        <v>Gauthier</v>
      </c>
      <c r="C2" s="25" t="str">
        <v>7.391</v>
      </c>
      <c r="D2" s="25">
        <v>69</v>
      </c>
      <c r="F2" t="str">
        <v>nombre de parties</v>
      </c>
    </row>
    <row r="3" spans="1:9" x14ac:dyDescent="0.3">
      <c r="A3" s="25">
        <v>2</v>
      </c>
      <c r="B3" s="25" t="str">
        <v>Boris</v>
      </c>
      <c r="C3" s="25" t="str">
        <v>7.263</v>
      </c>
      <c r="D3" s="25">
        <v>1015</v>
      </c>
      <c r="F3" t="str">
        <v>entre 1 et 10</v>
      </c>
      <c r="G3" s="23"/>
      <c r="H3" t="str" cm="1">
        <f t="array" ref="H3:I10">'All stat'!BR61:BS68</f>
        <v>anecdotique</v>
      </c>
      <c r="I3" t="str">
        <v>négligeable</v>
      </c>
    </row>
    <row r="4" spans="1:9" x14ac:dyDescent="0.3">
      <c r="A4" s="25">
        <v>3</v>
      </c>
      <c r="B4" s="25" t="str">
        <v>Célian</v>
      </c>
      <c r="C4" s="25" t="str">
        <v>6.236</v>
      </c>
      <c r="D4" s="25">
        <v>246</v>
      </c>
      <c r="F4" t="str">
        <v>entre 10 et 20</v>
      </c>
      <c r="G4" s="24"/>
      <c r="H4" t="str">
        <v>inexploitable</v>
      </c>
      <c r="I4" t="str">
        <v>inutile</v>
      </c>
    </row>
    <row r="5" spans="1:9" x14ac:dyDescent="0.3">
      <c r="A5" s="25">
        <v>4</v>
      </c>
      <c r="B5" s="25" t="str">
        <v>Joachim</v>
      </c>
      <c r="C5" s="25" t="str">
        <v>6.202</v>
      </c>
      <c r="D5" s="25">
        <v>104</v>
      </c>
      <c r="F5" t="str">
        <v>entre 20 et 50</v>
      </c>
      <c r="G5" s="17"/>
      <c r="H5" t="str">
        <v>pas fiable</v>
      </c>
      <c r="I5" t="str">
        <v>fragile</v>
      </c>
    </row>
    <row r="6" spans="1:9" x14ac:dyDescent="0.3">
      <c r="A6" s="25">
        <v>5</v>
      </c>
      <c r="B6" s="25" t="str">
        <v>Tom</v>
      </c>
      <c r="C6" s="25" t="str">
        <v>6.109</v>
      </c>
      <c r="D6" s="25">
        <v>193</v>
      </c>
      <c r="F6" t="str">
        <v>entre 50 et 100</v>
      </c>
      <c r="G6" s="18"/>
      <c r="H6" t="str">
        <v>exploratoire</v>
      </c>
      <c r="I6" t="str">
        <v>à confirmer</v>
      </c>
    </row>
    <row r="7" spans="1:9" x14ac:dyDescent="0.3">
      <c r="A7" s="25">
        <v>6</v>
      </c>
      <c r="B7" s="25" t="str">
        <v>William</v>
      </c>
      <c r="C7" s="25" t="str">
        <v>6.069</v>
      </c>
      <c r="D7" s="25">
        <v>29</v>
      </c>
      <c r="F7" t="str">
        <v>entre 100 et 250</v>
      </c>
      <c r="G7" s="21"/>
      <c r="H7" t="str">
        <v>solide</v>
      </c>
      <c r="I7" t="str">
        <v>fondé</v>
      </c>
    </row>
    <row r="8" spans="1:9" x14ac:dyDescent="0.3">
      <c r="A8" s="25">
        <v>7</v>
      </c>
      <c r="B8" s="25" t="str">
        <v>Samuel</v>
      </c>
      <c r="C8" s="25" t="str">
        <v>5.910</v>
      </c>
      <c r="D8" s="25">
        <v>211</v>
      </c>
      <c r="F8" t="str">
        <v>entre 250 et 500</v>
      </c>
      <c r="G8" s="19"/>
      <c r="H8" t="str">
        <v>fiable</v>
      </c>
      <c r="I8" t="str">
        <v>crédible</v>
      </c>
    </row>
    <row r="9" spans="1:9" x14ac:dyDescent="0.3">
      <c r="A9" s="25">
        <v>8</v>
      </c>
      <c r="B9" s="25" t="str">
        <v>Mehdi</v>
      </c>
      <c r="C9" s="25" t="str">
        <v>5.770</v>
      </c>
      <c r="D9" s="25">
        <v>421</v>
      </c>
      <c r="F9" t="str">
        <v>entre 500 et 1000</v>
      </c>
      <c r="G9" s="20"/>
      <c r="H9" t="str">
        <v>très fiable</v>
      </c>
      <c r="I9" t="str">
        <v>très robuste</v>
      </c>
    </row>
    <row r="10" spans="1:9" x14ac:dyDescent="0.3">
      <c r="A10" s="25">
        <v>9</v>
      </c>
      <c r="B10" s="25" t="str">
        <v>Damien</v>
      </c>
      <c r="C10" s="25" t="str">
        <v>5.599</v>
      </c>
      <c r="D10" s="25">
        <v>593</v>
      </c>
      <c r="F10" t="str">
        <v>plus de 1000</v>
      </c>
      <c r="G10" s="22"/>
      <c r="H10" t="str">
        <v>indiscutable</v>
      </c>
      <c r="I10" t="str">
        <v>irréfutable</v>
      </c>
    </row>
    <row r="11" spans="1:9" x14ac:dyDescent="0.3">
      <c r="A11" s="25">
        <v>10</v>
      </c>
      <c r="B11" s="25" t="str">
        <v>Lou</v>
      </c>
      <c r="C11" s="25" t="str">
        <v>5.553</v>
      </c>
      <c r="D11" s="25">
        <v>76</v>
      </c>
    </row>
    <row r="12" spans="1:9" x14ac:dyDescent="0.3">
      <c r="A12" s="25">
        <v>11</v>
      </c>
      <c r="B12" s="25" t="str">
        <v>Achille</v>
      </c>
      <c r="C12" s="25" t="str">
        <v>5.347</v>
      </c>
      <c r="D12" s="25">
        <v>824</v>
      </c>
    </row>
    <row r="13" spans="1:9" x14ac:dyDescent="0.3">
      <c r="A13" s="25">
        <v>12</v>
      </c>
      <c r="B13" s="25" t="str">
        <v>Quentin</v>
      </c>
      <c r="C13" s="25" t="str">
        <v>5.015</v>
      </c>
      <c r="D13" s="25">
        <v>67</v>
      </c>
    </row>
    <row r="14" spans="1:9" x14ac:dyDescent="0.3">
      <c r="A14" s="25">
        <v>13</v>
      </c>
      <c r="B14" s="25" t="str">
        <v>Paul</v>
      </c>
      <c r="C14" s="25" t="str">
        <v>4.813</v>
      </c>
      <c r="D14" s="25">
        <v>32</v>
      </c>
    </row>
    <row r="15" spans="1:9" x14ac:dyDescent="0.3">
      <c r="A15" s="25">
        <v>14</v>
      </c>
      <c r="B15" s="25" t="str">
        <v>Jules</v>
      </c>
      <c r="C15" s="25" t="str">
        <v>4.741</v>
      </c>
      <c r="D15" s="25">
        <v>139</v>
      </c>
    </row>
    <row r="16" spans="1:9" x14ac:dyDescent="0.3">
      <c r="A16" s="25">
        <v>15</v>
      </c>
      <c r="B16" s="25" t="str">
        <v>Marie</v>
      </c>
      <c r="C16" s="25" t="str">
        <v>4.219</v>
      </c>
      <c r="D16" s="25">
        <v>208</v>
      </c>
    </row>
    <row r="17" spans="1:4" x14ac:dyDescent="0.3">
      <c r="A17" s="25">
        <v>16</v>
      </c>
      <c r="B17" s="25" t="str">
        <v>Luca</v>
      </c>
      <c r="C17" s="25" t="str">
        <v>3.011</v>
      </c>
      <c r="D17" s="25">
        <v>178</v>
      </c>
    </row>
    <row r="18" spans="1:4" x14ac:dyDescent="0.3">
      <c r="A18" s="25">
        <v>17</v>
      </c>
      <c r="B18" s="25" t="str">
        <v>Fantinne</v>
      </c>
      <c r="C18" s="25" t="str">
        <v>2.961</v>
      </c>
      <c r="D18" s="25">
        <v>51</v>
      </c>
    </row>
    <row r="19" spans="1:4" x14ac:dyDescent="0.3">
      <c r="A19" s="25">
        <v>18</v>
      </c>
      <c r="B19" s="25" t="str">
        <v>Joey</v>
      </c>
      <c r="C19" s="25" t="str">
        <v>2.933</v>
      </c>
      <c r="D19" s="25">
        <v>60</v>
      </c>
    </row>
    <row r="20" spans="1:4" x14ac:dyDescent="0.3">
      <c r="A20" s="25">
        <v>19</v>
      </c>
      <c r="B20" s="25" t="str">
        <v>Loulou</v>
      </c>
      <c r="C20" s="25" t="str">
        <v>2.075</v>
      </c>
      <c r="D20" s="25">
        <v>67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2</vt:i4>
      </vt:variant>
    </vt:vector>
  </HeadingPairs>
  <TitlesOfParts>
    <vt:vector size="2" baseType="lpstr">
      <vt:lpstr>All stat</vt:lpstr>
      <vt:lpstr>Classement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Boris DOBBELSTEIN</dc:creator>
  <cp:lastModifiedBy>Boris Dobbelstein</cp:lastModifiedBy>
  <dcterms:created xsi:type="dcterms:W3CDTF">2024-02-27T09:37:50Z</dcterms:created>
  <dcterms:modified xsi:type="dcterms:W3CDTF">2026-02-25T20:59:13Z</dcterms:modified>
</cp:coreProperties>
</file>