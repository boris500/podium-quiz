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0B8382962B136A/Bureau/loisir/whist/projet_application_streamlit/"/>
    </mc:Choice>
  </mc:AlternateContent>
  <xr:revisionPtr revIDLastSave="575" documentId="14_{167F2DC3-291A-4B33-AB7D-1A6E034E4A5E}" xr6:coauthVersionLast="47" xr6:coauthVersionMax="47" xr10:uidLastSave="{78EB434E-47C2-4055-81C3-9C7F931A64A5}"/>
  <bookViews>
    <workbookView xWindow="-108" yWindow="-108" windowWidth="23256" windowHeight="12456" xr2:uid="{00000000-000D-0000-FFFF-FFFF00000000}"/>
  </bookViews>
  <sheets>
    <sheet name="All stat" sheetId="1" r:id="rId1"/>
    <sheet name="Class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8" i="1" l="1"/>
  <c r="BW4" i="1"/>
  <c r="BX4" i="1"/>
  <c r="BY4" i="1"/>
  <c r="BZ4" i="1"/>
  <c r="CA4" i="1"/>
  <c r="CB4" i="1"/>
  <c r="CC4" i="1"/>
  <c r="CD4" i="1"/>
  <c r="BW6" i="1"/>
  <c r="BX6" i="1"/>
  <c r="BY6" i="1"/>
  <c r="BZ6" i="1"/>
  <c r="CA6" i="1"/>
  <c r="CB6" i="1"/>
  <c r="CA5" i="1" s="1"/>
  <c r="CC6" i="1"/>
  <c r="CD6" i="1"/>
  <c r="BW8" i="1"/>
  <c r="BX8" i="1"/>
  <c r="BY8" i="1"/>
  <c r="CA8" i="1"/>
  <c r="CB8" i="1"/>
  <c r="CC8" i="1"/>
  <c r="CD8" i="1"/>
  <c r="BM4" i="1"/>
  <c r="BN4" i="1"/>
  <c r="BO4" i="1"/>
  <c r="BP4" i="1"/>
  <c r="BQ4" i="1"/>
  <c r="BR4" i="1"/>
  <c r="BS4" i="1"/>
  <c r="BT4" i="1"/>
  <c r="BU4" i="1"/>
  <c r="BV4" i="1"/>
  <c r="BM6" i="1"/>
  <c r="BN6" i="1"/>
  <c r="BO6" i="1"/>
  <c r="BP6" i="1"/>
  <c r="BQ6" i="1"/>
  <c r="BR6" i="1"/>
  <c r="BS6" i="1"/>
  <c r="BT6" i="1"/>
  <c r="BU6" i="1"/>
  <c r="BV6" i="1"/>
  <c r="BM8" i="1"/>
  <c r="BN8" i="1"/>
  <c r="BO8" i="1"/>
  <c r="BP8" i="1"/>
  <c r="BQ8" i="1"/>
  <c r="BR8" i="1"/>
  <c r="BS8" i="1"/>
  <c r="BT8" i="1"/>
  <c r="BU8" i="1"/>
  <c r="BV8" i="1"/>
  <c r="BG4" i="1"/>
  <c r="BH4" i="1"/>
  <c r="BI4" i="1"/>
  <c r="BJ4" i="1"/>
  <c r="BK4" i="1"/>
  <c r="BL4" i="1"/>
  <c r="BG6" i="1"/>
  <c r="BH6" i="1"/>
  <c r="BI6" i="1"/>
  <c r="BJ6" i="1"/>
  <c r="BK6" i="1"/>
  <c r="BL6" i="1"/>
  <c r="BG8" i="1"/>
  <c r="BH8" i="1"/>
  <c r="BI8" i="1"/>
  <c r="BJ8" i="1"/>
  <c r="BK8" i="1"/>
  <c r="BL8" i="1"/>
  <c r="H3" i="2" a="1"/>
  <c r="F1" i="2" a="1"/>
  <c r="CI5" i="1"/>
  <c r="CI4" i="1"/>
  <c r="BE4" i="1"/>
  <c r="BF4" i="1"/>
  <c r="BE6" i="1"/>
  <c r="BF6" i="1"/>
  <c r="BE8" i="1"/>
  <c r="BF8" i="1"/>
  <c r="BD8" i="1"/>
  <c r="BC8" i="1"/>
  <c r="BB8" i="1"/>
  <c r="BA8" i="1"/>
  <c r="BD6" i="1"/>
  <c r="BC6" i="1"/>
  <c r="BB6" i="1"/>
  <c r="BA6" i="1"/>
  <c r="BD4" i="1"/>
  <c r="BC4" i="1"/>
  <c r="BB4" i="1"/>
  <c r="BA4" i="1"/>
  <c r="BY7" i="1" l="1"/>
  <c r="BW3" i="1"/>
  <c r="CD2" i="1"/>
  <c r="CC1" i="1" s="1"/>
  <c r="BZ2" i="1"/>
  <c r="BY1" i="1" s="1"/>
  <c r="BW2" i="1"/>
  <c r="BX2" i="1"/>
  <c r="BW1" i="1" s="1"/>
  <c r="BY2" i="1"/>
  <c r="CA2" i="1"/>
  <c r="CB2" i="1"/>
  <c r="CA1" i="1" s="1"/>
  <c r="BY3" i="1"/>
  <c r="CA3" i="1"/>
  <c r="BW5" i="1"/>
  <c r="BY5" i="1"/>
  <c r="CC5" i="1"/>
  <c r="BW7" i="1"/>
  <c r="CA7" i="1"/>
  <c r="CC7" i="1"/>
  <c r="CC2" i="1"/>
  <c r="CC3" i="1"/>
  <c r="BO5" i="1"/>
  <c r="BO7" i="1"/>
  <c r="BN2" i="1"/>
  <c r="BM1" i="1" s="1"/>
  <c r="BP2" i="1"/>
  <c r="BO1" i="1" s="1"/>
  <c r="BR2" i="1"/>
  <c r="BT2" i="1"/>
  <c r="BV2" i="1"/>
  <c r="BM5" i="1"/>
  <c r="BQ5" i="1"/>
  <c r="BS5" i="1"/>
  <c r="BU5" i="1"/>
  <c r="BM7" i="1"/>
  <c r="BQ7" i="1"/>
  <c r="BS7" i="1"/>
  <c r="BU7" i="1"/>
  <c r="BM2" i="1"/>
  <c r="BM3" i="1"/>
  <c r="BO2" i="1"/>
  <c r="BO3" i="1"/>
  <c r="BQ2" i="1"/>
  <c r="BQ3" i="1"/>
  <c r="BS2" i="1"/>
  <c r="BS3" i="1"/>
  <c r="BU2" i="1"/>
  <c r="BU3" i="1"/>
  <c r="BG5" i="1"/>
  <c r="BK5" i="1"/>
  <c r="BK7" i="1"/>
  <c r="BL2" i="1"/>
  <c r="BI7" i="1"/>
  <c r="BI5" i="1"/>
  <c r="BG7" i="1"/>
  <c r="BJ2" i="1"/>
  <c r="BH2" i="1"/>
  <c r="BG2" i="1"/>
  <c r="BG3" i="1"/>
  <c r="BI2" i="1"/>
  <c r="BI3" i="1"/>
  <c r="BK2" i="1"/>
  <c r="BK3" i="1"/>
  <c r="BC5" i="1"/>
  <c r="BE5" i="1"/>
  <c r="BF2" i="1"/>
  <c r="BE7" i="1"/>
  <c r="BE3" i="1"/>
  <c r="BE2" i="1"/>
  <c r="BA7" i="1"/>
  <c r="BA3" i="1"/>
  <c r="BD2" i="1"/>
  <c r="BA2" i="1"/>
  <c r="BA5" i="1"/>
  <c r="BC7" i="1"/>
  <c r="BC2" i="1"/>
  <c r="BB2" i="1"/>
  <c r="BA1" i="1" s="1"/>
  <c r="BC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I6" i="1"/>
  <c r="J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E4" i="1"/>
  <c r="F4" i="1"/>
  <c r="G4" i="1"/>
  <c r="H4" i="1"/>
  <c r="E6" i="1"/>
  <c r="F6" i="1"/>
  <c r="G6" i="1"/>
  <c r="H6" i="1"/>
  <c r="E8" i="1"/>
  <c r="F8" i="1"/>
  <c r="G8" i="1"/>
  <c r="H8" i="1"/>
  <c r="D8" i="1"/>
  <c r="C8" i="1"/>
  <c r="C4" i="1"/>
  <c r="L178" i="1"/>
  <c r="L6" i="1" s="1"/>
  <c r="K178" i="1"/>
  <c r="K6" i="1" s="1"/>
  <c r="D178" i="1"/>
  <c r="D6" i="1" s="1"/>
  <c r="C178" i="1"/>
  <c r="C6" i="1" s="1"/>
  <c r="D4" i="1"/>
  <c r="BK1" i="1" l="1"/>
  <c r="BS1" i="1"/>
  <c r="BU1" i="1"/>
  <c r="BG1" i="1"/>
  <c r="BI1" i="1"/>
  <c r="BQ1" i="1"/>
  <c r="BC1" i="1"/>
  <c r="BE1" i="1"/>
  <c r="K5" i="1"/>
  <c r="AI7" i="1"/>
  <c r="AW5" i="1"/>
  <c r="AA5" i="1"/>
  <c r="Y5" i="1"/>
  <c r="AU5" i="1"/>
  <c r="AI5" i="1"/>
  <c r="W5" i="1"/>
  <c r="I5" i="1"/>
  <c r="K7" i="1"/>
  <c r="AS3" i="1"/>
  <c r="AG3" i="1"/>
  <c r="U3" i="1"/>
  <c r="G5" i="1"/>
  <c r="E5" i="1"/>
  <c r="I3" i="1"/>
  <c r="S3" i="1"/>
  <c r="AS7" i="1"/>
  <c r="I7" i="1"/>
  <c r="S7" i="1"/>
  <c r="AK2" i="1"/>
  <c r="E2" i="1"/>
  <c r="AJ2" i="1"/>
  <c r="X2" i="1"/>
  <c r="L2" i="1"/>
  <c r="AE3" i="1"/>
  <c r="U7" i="1"/>
  <c r="AQ7" i="1"/>
  <c r="F2" i="1"/>
  <c r="AW2" i="1"/>
  <c r="D2" i="1"/>
  <c r="AG7" i="1"/>
  <c r="AE7" i="1"/>
  <c r="AL2" i="1"/>
  <c r="AK1" i="1" s="1"/>
  <c r="Y2" i="1"/>
  <c r="AQ3" i="1"/>
  <c r="AT2" i="1"/>
  <c r="AS1" i="1" s="1"/>
  <c r="AH2" i="1"/>
  <c r="J2" i="1"/>
  <c r="AR2" i="1"/>
  <c r="AF2" i="1"/>
  <c r="AE1" i="1" s="1"/>
  <c r="AC7" i="1"/>
  <c r="AQ5" i="1"/>
  <c r="AP2" i="1"/>
  <c r="AO1" i="1" s="1"/>
  <c r="AD2" i="1"/>
  <c r="AC5" i="1"/>
  <c r="E7" i="1"/>
  <c r="AK7" i="1"/>
  <c r="AY5" i="1"/>
  <c r="AM5" i="1"/>
  <c r="O5" i="1"/>
  <c r="AG2" i="1"/>
  <c r="AO7" i="1"/>
  <c r="AE2" i="1"/>
  <c r="S5" i="1"/>
  <c r="AE5" i="1"/>
  <c r="AO5" i="1"/>
  <c r="Q5" i="1"/>
  <c r="AN2" i="1"/>
  <c r="P2" i="1"/>
  <c r="Y7" i="1"/>
  <c r="W7" i="1"/>
  <c r="AK5" i="1"/>
  <c r="M5" i="1"/>
  <c r="AM2" i="1"/>
  <c r="O2" i="1"/>
  <c r="AU3" i="1"/>
  <c r="W3" i="1"/>
  <c r="T2" i="1"/>
  <c r="C7" i="1"/>
  <c r="Z2" i="1"/>
  <c r="AZ2" i="1"/>
  <c r="I2" i="1"/>
  <c r="Q7" i="1"/>
  <c r="R2" i="1"/>
  <c r="AU7" i="1"/>
  <c r="AV2" i="1"/>
  <c r="AU1" i="1" s="1"/>
  <c r="AB2" i="1"/>
  <c r="M7" i="1"/>
  <c r="N2" i="1"/>
  <c r="M2" i="1"/>
  <c r="H2" i="1"/>
  <c r="AW7" i="1"/>
  <c r="AX2" i="1"/>
  <c r="AW1" i="1" s="1"/>
  <c r="V2" i="1"/>
  <c r="G7" i="1"/>
  <c r="G2" i="1"/>
  <c r="C2" i="1"/>
  <c r="AC3" i="1"/>
  <c r="AC2" i="1"/>
  <c r="AO2" i="1"/>
  <c r="AO3" i="1"/>
  <c r="Q2" i="1"/>
  <c r="Q3" i="1"/>
  <c r="AY3" i="1"/>
  <c r="AA3" i="1"/>
  <c r="AS5" i="1"/>
  <c r="U5" i="1"/>
  <c r="AU2" i="1"/>
  <c r="AI2" i="1"/>
  <c r="AY7" i="1"/>
  <c r="AM7" i="1"/>
  <c r="AA7" i="1"/>
  <c r="O7" i="1"/>
  <c r="AG5" i="1"/>
  <c r="W2" i="1"/>
  <c r="K2" i="1"/>
  <c r="AS2" i="1"/>
  <c r="U2" i="1"/>
  <c r="AM3" i="1"/>
  <c r="O3" i="1"/>
  <c r="AK3" i="1"/>
  <c r="M3" i="1"/>
  <c r="AQ2" i="1"/>
  <c r="S2" i="1"/>
  <c r="AI3" i="1"/>
  <c r="K3" i="1"/>
  <c r="AY2" i="1"/>
  <c r="AA2" i="1"/>
  <c r="AW3" i="1"/>
  <c r="Y3" i="1"/>
  <c r="G3" i="1"/>
  <c r="E3" i="1"/>
  <c r="C3" i="1"/>
  <c r="C5" i="1"/>
  <c r="AY1" i="1" l="1"/>
  <c r="Y1" i="1"/>
  <c r="AM1" i="1"/>
  <c r="AC1" i="1"/>
  <c r="AQ1" i="1"/>
  <c r="AI1" i="1"/>
  <c r="U1" i="1"/>
  <c r="S1" i="1"/>
  <c r="AA1" i="1"/>
  <c r="O1" i="1"/>
  <c r="C1" i="1"/>
  <c r="AG1" i="1"/>
  <c r="K1" i="1"/>
  <c r="E1" i="1"/>
  <c r="I1" i="1"/>
  <c r="W1" i="1"/>
  <c r="G1" i="1"/>
  <c r="Q1" i="1"/>
  <c r="M1" i="1"/>
  <c r="G13" i="2" l="1"/>
  <c r="CH141" i="1"/>
  <c r="CJ129" i="1" a="1"/>
  <c r="CO129" i="1" a="1"/>
  <c r="CT161" i="1" a="1"/>
  <c r="CT187" i="1" a="1"/>
  <c r="CY187" i="1" a="1"/>
  <c r="CT129" i="1" a="1"/>
  <c r="CH4" i="1"/>
  <c r="A2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<sst xmlns="http://schemas.openxmlformats.org/spreadsheetml/2006/main" count="449" uniqueCount="104">
  <si>
    <t>global</t>
  </si>
  <si>
    <t>moyenne</t>
  </si>
  <si>
    <t>/</t>
  </si>
  <si>
    <t>total (point, partie)</t>
  </si>
  <si>
    <t>q1</t>
  </si>
  <si>
    <t>q2</t>
  </si>
  <si>
    <t>Jules</t>
  </si>
  <si>
    <t>ok</t>
  </si>
  <si>
    <t>classement</t>
  </si>
  <si>
    <t>&gt;moyenne</t>
  </si>
  <si>
    <t>dernier</t>
  </si>
  <si>
    <t>manque de partie</t>
  </si>
  <si>
    <t>&lt;moyenne</t>
  </si>
  <si>
    <t>avant-dernier</t>
  </si>
  <si>
    <t>avant-avant-dernier</t>
  </si>
  <si>
    <t>moyenne d'une partie</t>
  </si>
  <si>
    <t>partie &lt; (-2)</t>
  </si>
  <si>
    <t>partie &gt; 10</t>
  </si>
  <si>
    <t>partie &lt;  2</t>
  </si>
  <si>
    <t>Robin</t>
  </si>
  <si>
    <t>Quentin</t>
  </si>
  <si>
    <t>Maxime_Ca</t>
  </si>
  <si>
    <t>cayfas a la feuille</t>
  </si>
  <si>
    <t>achille ?</t>
  </si>
  <si>
    <t xml:space="preserve">achille ? </t>
  </si>
  <si>
    <t>vide</t>
  </si>
  <si>
    <t>sépa</t>
  </si>
  <si>
    <t>q1q2-2025</t>
  </si>
  <si>
    <t>aide progra</t>
  </si>
  <si>
    <t xml:space="preserve"> </t>
  </si>
  <si>
    <t xml:space="preserve">1er  </t>
  </si>
  <si>
    <t>2ème</t>
  </si>
  <si>
    <t>3ème</t>
  </si>
  <si>
    <t>Stanislas</t>
  </si>
  <si>
    <t>Lou</t>
  </si>
  <si>
    <t>classement avec inactif</t>
  </si>
  <si>
    <t>noms</t>
  </si>
  <si>
    <t>moyennes</t>
  </si>
  <si>
    <t>partie &gt; 12</t>
  </si>
  <si>
    <t>Joey</t>
  </si>
  <si>
    <t>Hors classement</t>
  </si>
  <si>
    <t>moyennes virtuelles</t>
  </si>
  <si>
    <t>nombre de parties</t>
  </si>
  <si>
    <t>légende</t>
  </si>
  <si>
    <t>entre 50 et 100</t>
  </si>
  <si>
    <t>entre 100 et 250</t>
  </si>
  <si>
    <t>entre 250 et 500</t>
  </si>
  <si>
    <t>entre 500 et 1000</t>
  </si>
  <si>
    <t>plus de 1000</t>
  </si>
  <si>
    <t>mise à jour jusque BF</t>
  </si>
  <si>
    <t>entre 20 et 50</t>
  </si>
  <si>
    <t>entre 1 et 10</t>
  </si>
  <si>
    <t>entre 10 et 20</t>
  </si>
  <si>
    <t>statistiquement</t>
  </si>
  <si>
    <t>inutile</t>
  </si>
  <si>
    <t>pas fiable</t>
  </si>
  <si>
    <t>solide</t>
  </si>
  <si>
    <t>fiable</t>
  </si>
  <si>
    <t>très fiable</t>
  </si>
  <si>
    <t>exploratoire</t>
  </si>
  <si>
    <t>anecdotique</t>
  </si>
  <si>
    <t>inexploitable</t>
  </si>
  <si>
    <t>indiscutable</t>
  </si>
  <si>
    <t>négligeable</t>
  </si>
  <si>
    <t>fragile</t>
  </si>
  <si>
    <t>à confirmer</t>
  </si>
  <si>
    <t>fondé</t>
  </si>
  <si>
    <t>crédible</t>
  </si>
  <si>
    <t>très robuste</t>
  </si>
  <si>
    <t>irréfutable</t>
  </si>
  <si>
    <t>Achille</t>
  </si>
  <si>
    <t>Mehdi</t>
  </si>
  <si>
    <t>Boris</t>
  </si>
  <si>
    <t>Samuel</t>
  </si>
  <si>
    <t>Joachim</t>
  </si>
  <si>
    <t>Damien</t>
  </si>
  <si>
    <t>Gauthier</t>
  </si>
  <si>
    <t>Célian</t>
  </si>
  <si>
    <t>Tom</t>
  </si>
  <si>
    <t>Luca</t>
  </si>
  <si>
    <t>Loulou</t>
  </si>
  <si>
    <t>Paul</t>
  </si>
  <si>
    <t>Marie</t>
  </si>
  <si>
    <t>Harrison</t>
  </si>
  <si>
    <t>William</t>
  </si>
  <si>
    <t>Fantinne</t>
  </si>
  <si>
    <t>Pascale</t>
  </si>
  <si>
    <t>Maxime_Go</t>
  </si>
  <si>
    <t>Aurélien</t>
  </si>
  <si>
    <t>Émile</t>
  </si>
  <si>
    <t>Amélie</t>
  </si>
  <si>
    <t>Hugo</t>
  </si>
  <si>
    <t>gaspard</t>
  </si>
  <si>
    <t>ethan</t>
  </si>
  <si>
    <t>Romain</t>
  </si>
  <si>
    <t>Sam</t>
  </si>
  <si>
    <t>Vincent</t>
  </si>
  <si>
    <t>Thomas</t>
  </si>
  <si>
    <t>Bruno</t>
  </si>
  <si>
    <t>Séba</t>
  </si>
  <si>
    <t>Samuel Fraire</t>
  </si>
  <si>
    <t>moyenne des moyennes</t>
  </si>
  <si>
    <t>Thibaut (coloc)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</si>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</sst>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5E6A2"/>
        <bgColor rgb="FFB5E6A2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8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f7" xfId="7" xr:uid="{00000000-0005-0000-0000-000006000000}"/>
    <cellStyle name="Normal" xfId="0" builtinId="0" customBuiltin="1"/>
  </cellStyles>
  <dxfs count="29"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B5E6A2"/>
          <bgColor rgb="FFB5E6A2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rgb="FF00B0F0"/>
          <bgColor theme="5" tint="0.79998168889431442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08"/>
  <sheetViews>
    <sheetView tabSelected="1" zoomScale="106" zoomScaleNormal="72" workbookViewId="0">
      <pane xSplit="2" ySplit="9" topLeftCell="G10" activePane="bottomRight" state="frozen"/>
      <selection pane="topRight" activeCell="C1" sqref="C1"/>
      <selection pane="bottomLeft" activeCell="A10" sqref="A10"/>
      <selection pane="bottomRight" activeCell="L19" sqref="L19"/>
    </sheetView>
  </sheetViews>
  <sheetFormatPr baseColWidth="10" defaultRowHeight="14.4" x14ac:dyDescent="0.3"/>
  <cols>
    <col min="1" max="1" width="16.5546875" style="1" customWidth="1"/>
    <col min="2" max="2" width="16.77734375" style="1" customWidth="1"/>
    <col min="3" max="83" width="5.77734375" style="1" customWidth="1"/>
    <col min="84" max="84" width="11.5546875" style="1"/>
    <col min="85" max="86" width="20.6640625" style="1" customWidth="1"/>
    <col min="87" max="87" width="11.5546875" style="1"/>
    <col min="88" max="88" width="16.88671875" style="1" customWidth="1"/>
    <col min="89" max="90" width="11.5546875" style="1"/>
    <col min="91" max="91" width="20.33203125" style="1" customWidth="1"/>
    <col min="92" max="92" width="23.6640625" style="1" customWidth="1"/>
    <col min="93" max="93" width="21.109375" style="1" customWidth="1"/>
    <col min="94" max="94" width="20.33203125" style="1" customWidth="1"/>
    <col min="95" max="95" width="19.21875" style="1" customWidth="1"/>
    <col min="96" max="96" width="20.77734375" style="1" customWidth="1"/>
    <col min="97" max="97" width="15.77734375" style="1" customWidth="1"/>
    <col min="98" max="16384" width="11.5546875" style="1"/>
  </cols>
  <sheetData>
    <row r="1" spans="1:87" x14ac:dyDescent="0.3">
      <c r="A1" s="1" t="s">
        <v>0</v>
      </c>
      <c r="B1" s="1" t="s">
        <v>1</v>
      </c>
      <c r="C1" s="1">
        <f t="shared" ref="C1" si="0">IF(D2&gt;19,C2/D2,"/")</f>
        <v>5.4508875739644971</v>
      </c>
      <c r="D1" s="1" t="s">
        <v>2</v>
      </c>
      <c r="E1" s="1">
        <f t="shared" ref="E1" si="1">IF(F2&gt;19,E2/F2,"/")</f>
        <v>5.5956043956043953</v>
      </c>
      <c r="F1" s="1" t="s">
        <v>2</v>
      </c>
      <c r="G1" s="1">
        <f t="shared" ref="G1" si="2">IF(H2&gt;19,G2/H2,"/")</f>
        <v>7.1996078431372545</v>
      </c>
      <c r="H1" s="1" t="s">
        <v>2</v>
      </c>
      <c r="I1" s="1">
        <f t="shared" ref="I1" si="3">IF(J2&gt;19,I2/J2,"/")</f>
        <v>5.9099526066350707</v>
      </c>
      <c r="J1" s="1" t="s">
        <v>2</v>
      </c>
      <c r="K1" s="1">
        <f t="shared" ref="K1" si="4">IF(L2&gt;19,K2/L2,"/")</f>
        <v>5.8899082568807337</v>
      </c>
      <c r="L1" s="1" t="s">
        <v>2</v>
      </c>
      <c r="M1" s="1">
        <f t="shared" ref="M1" si="5">IF(N2&gt;19,M2/N2,"/")</f>
        <v>5.4638554216867474</v>
      </c>
      <c r="N1" s="1" t="s">
        <v>2</v>
      </c>
      <c r="O1" s="1">
        <f t="shared" ref="O1" si="6">IF(P2&gt;19,O2/P2,"/")</f>
        <v>6.6086956521739131</v>
      </c>
      <c r="P1" s="1" t="s">
        <v>2</v>
      </c>
      <c r="Q1" s="1">
        <f t="shared" ref="Q1" si="7">IF(R2&gt;19,Q2/R2,"/")</f>
        <v>6.2047058823529415</v>
      </c>
      <c r="R1" s="1" t="s">
        <v>2</v>
      </c>
      <c r="S1" s="1">
        <f t="shared" ref="S1" si="8">IF(T2&gt;19,S2/T2,"/")</f>
        <v>5.9383753501400562</v>
      </c>
      <c r="T1" s="1" t="s">
        <v>2</v>
      </c>
      <c r="U1" s="1">
        <f t="shared" ref="U1" si="9">IF(V2&gt;19,U2/V2,"/")</f>
        <v>3.2315789473684209</v>
      </c>
      <c r="V1" s="1" t="s">
        <v>2</v>
      </c>
      <c r="W1" s="1">
        <f t="shared" ref="W1" si="10">IF(X2&gt;19,W2/X2,"/")</f>
        <v>3.7168141592920354</v>
      </c>
      <c r="X1" s="1" t="s">
        <v>2</v>
      </c>
      <c r="Y1" s="1">
        <f t="shared" ref="Y1" si="11">IF(Z2&gt;19,Y2/Z2,"/")</f>
        <v>4.8125</v>
      </c>
      <c r="Z1" s="1" t="s">
        <v>2</v>
      </c>
      <c r="AA1" s="1">
        <f t="shared" ref="AA1" si="12">IF(AB2&gt;19,AA2/AB2,"/")</f>
        <v>4.8519021739130439</v>
      </c>
      <c r="AB1" s="1" t="s">
        <v>2</v>
      </c>
      <c r="AC1" s="1">
        <f>IF(AD2&gt;19,AC2/AD2,"/")</f>
        <v>5.3232044198895023</v>
      </c>
      <c r="AD1" s="1" t="s">
        <v>2</v>
      </c>
      <c r="AE1" s="1" t="str">
        <f t="shared" ref="AE1" si="13">IF(AF2&gt;19,AE2/AF2,"/")</f>
        <v>/</v>
      </c>
      <c r="AF1" s="1" t="s">
        <v>2</v>
      </c>
      <c r="AG1" s="1">
        <f t="shared" ref="AG1" si="14">IF(AH2&gt;19,AG2/AH2,"/")</f>
        <v>6.068965517241379</v>
      </c>
      <c r="AH1" s="1" t="s">
        <v>2</v>
      </c>
      <c r="AI1" s="1">
        <f t="shared" ref="AI1" si="15">IF(AJ2&gt;19,AI2/AJ2,"/")</f>
        <v>3.6440677966101696</v>
      </c>
      <c r="AJ1" s="1" t="s">
        <v>2</v>
      </c>
      <c r="AK1" s="1" t="str">
        <f t="shared" ref="AK1" si="16">IF(AL2&gt;19,AK2/AL2,"/")</f>
        <v>/</v>
      </c>
      <c r="AL1" s="1" t="s">
        <v>2</v>
      </c>
      <c r="AM1" s="1">
        <f t="shared" ref="AM1" si="17">IF(AN2&gt;19,AM2/AN2,"/")</f>
        <v>5.1698113207547172</v>
      </c>
      <c r="AN1" s="1" t="s">
        <v>2</v>
      </c>
      <c r="AO1" s="1" t="str">
        <f t="shared" ref="AO1" si="18">IF(AP2&gt;19,AO2/AP2,"/")</f>
        <v>/</v>
      </c>
      <c r="AP1" s="1" t="s">
        <v>2</v>
      </c>
      <c r="AQ1" s="1">
        <f t="shared" ref="AQ1" si="19">IF(AR2&gt;19,AQ2/AR2,"/")</f>
        <v>4.096774193548387</v>
      </c>
      <c r="AR1" s="1" t="s">
        <v>2</v>
      </c>
      <c r="AS1" s="1" t="str">
        <f t="shared" ref="AS1" si="20">IF(AT2&gt;19,AS2/AT2,"/")</f>
        <v>/</v>
      </c>
      <c r="AT1" s="1" t="s">
        <v>2</v>
      </c>
      <c r="AU1" s="1" t="str">
        <f t="shared" ref="AU1" si="21">IF(AV2&gt;19,AU2/AV2,"/")</f>
        <v>/</v>
      </c>
      <c r="AV1" s="1" t="s">
        <v>2</v>
      </c>
      <c r="AW1" s="1" t="str">
        <f t="shared" ref="AW1" si="22">IF(AX2&gt;19,AW2/AX2,"/")</f>
        <v>/</v>
      </c>
      <c r="AX1" s="1" t="s">
        <v>2</v>
      </c>
      <c r="AY1" s="1">
        <f t="shared" ref="AY1" si="23">IF(AZ2&gt;19,AY2/AZ2,"/")</f>
        <v>4.5</v>
      </c>
      <c r="AZ1" s="1" t="s">
        <v>2</v>
      </c>
      <c r="BA1" s="1" t="str">
        <f t="shared" ref="BA1" si="24">IF(BB2&gt;19,BA2/BB2,"/")</f>
        <v>/</v>
      </c>
      <c r="BB1" s="1" t="s">
        <v>2</v>
      </c>
      <c r="BC1" s="1">
        <f t="shared" ref="BC1" si="25">IF(BD2&gt;19,BC2/BD2,"/")</f>
        <v>4.4814814814814818</v>
      </c>
      <c r="BD1" s="1" t="s">
        <v>2</v>
      </c>
      <c r="BE1" s="1">
        <f t="shared" ref="BE1" si="26">IF(BF2&gt;19,BE2/BF2,"/")</f>
        <v>4.759615384615385</v>
      </c>
      <c r="BF1" s="1" t="s">
        <v>2</v>
      </c>
      <c r="BG1" s="1">
        <f t="shared" ref="BG1" si="27">IF(BH2&gt;19,BG2/BH2,"/")</f>
        <v>5.2249999999999996</v>
      </c>
      <c r="BH1" s="1" t="s">
        <v>2</v>
      </c>
      <c r="BI1" s="1">
        <f t="shared" ref="BI1" si="28">IF(BJ2&gt;19,BI2/BJ2,"/")</f>
        <v>5.3421052631578947</v>
      </c>
      <c r="BJ1" s="1" t="s">
        <v>2</v>
      </c>
      <c r="BK1" s="1">
        <f t="shared" ref="BK1" si="29">IF(BL2&gt;19,BK2/BL2,"/")</f>
        <v>5.5</v>
      </c>
      <c r="BL1" s="1" t="s">
        <v>2</v>
      </c>
      <c r="BM1" s="1" t="str">
        <f t="shared" ref="BM1" si="30">IF(BN2&gt;19,BM2/BN2,"/")</f>
        <v>/</v>
      </c>
      <c r="BN1" s="1" t="s">
        <v>2</v>
      </c>
      <c r="BO1" s="1" t="str">
        <f t="shared" ref="BO1" si="31">IF(BP2&gt;19,BO2/BP2,"/")</f>
        <v>/</v>
      </c>
      <c r="BP1" s="1" t="s">
        <v>2</v>
      </c>
      <c r="BQ1" s="1">
        <f t="shared" ref="BQ1" si="32">IF(BR2&gt;19,BQ2/BR2,"/")</f>
        <v>6.75</v>
      </c>
      <c r="BR1" s="1" t="s">
        <v>2</v>
      </c>
      <c r="BS1" s="1">
        <f t="shared" ref="BS1" si="33">IF(BT2&gt;19,BS2/BT2,"/")</f>
        <v>5.4</v>
      </c>
      <c r="BT1" s="1" t="s">
        <v>2</v>
      </c>
      <c r="BU1" s="1">
        <f t="shared" ref="BU1" si="34">IF(BV2&gt;19,BU2/BV2,"/")</f>
        <v>3.3571428571428572</v>
      </c>
      <c r="BV1" s="1" t="s">
        <v>2</v>
      </c>
      <c r="BW1" s="1" t="str">
        <f t="shared" ref="BW1" si="35">IF(BX2&gt;19,BW2/BX2,"/")</f>
        <v>/</v>
      </c>
      <c r="BX1" s="1" t="s">
        <v>2</v>
      </c>
      <c r="BY1" s="1" t="str">
        <f t="shared" ref="BY1" si="36">IF(BZ2&gt;19,BY2/BZ2,"/")</f>
        <v>/</v>
      </c>
      <c r="BZ1" s="1" t="s">
        <v>2</v>
      </c>
      <c r="CA1" s="1" t="str">
        <f t="shared" ref="CA1" si="37">IF(CB2&gt;19,CA2/CB2,"/")</f>
        <v>/</v>
      </c>
      <c r="CB1" s="1" t="s">
        <v>2</v>
      </c>
      <c r="CC1" s="1" t="str">
        <f t="shared" ref="CC1" si="38">IF(CD2&gt;19,CC2/CD2,"/")</f>
        <v>/</v>
      </c>
      <c r="CD1" s="1" t="s">
        <v>2</v>
      </c>
    </row>
    <row r="2" spans="1:87" x14ac:dyDescent="0.3">
      <c r="B2" s="1" t="s">
        <v>3</v>
      </c>
      <c r="C2" s="1">
        <f>C4+C6+C8</f>
        <v>4606</v>
      </c>
      <c r="D2" s="1">
        <f>D4+D6+D8</f>
        <v>845</v>
      </c>
      <c r="E2" s="1">
        <f t="shared" ref="E2:J2" si="39">E4+E6+E8</f>
        <v>2546</v>
      </c>
      <c r="F2" s="1">
        <f t="shared" si="39"/>
        <v>455</v>
      </c>
      <c r="G2" s="1">
        <f t="shared" si="39"/>
        <v>9179.5</v>
      </c>
      <c r="H2" s="1">
        <f t="shared" si="39"/>
        <v>1275</v>
      </c>
      <c r="I2" s="1">
        <f t="shared" si="39"/>
        <v>1247</v>
      </c>
      <c r="J2" s="1">
        <f t="shared" si="39"/>
        <v>211</v>
      </c>
      <c r="K2" s="1">
        <f t="shared" ref="K2:AZ2" si="40">K4+K6+K8</f>
        <v>642</v>
      </c>
      <c r="L2" s="1">
        <f t="shared" si="40"/>
        <v>109</v>
      </c>
      <c r="M2" s="1">
        <f t="shared" si="40"/>
        <v>4535</v>
      </c>
      <c r="N2" s="1">
        <f t="shared" si="40"/>
        <v>830</v>
      </c>
      <c r="O2" s="1">
        <f t="shared" si="40"/>
        <v>760</v>
      </c>
      <c r="P2" s="1">
        <f t="shared" si="40"/>
        <v>115</v>
      </c>
      <c r="Q2" s="1">
        <f t="shared" si="40"/>
        <v>2637</v>
      </c>
      <c r="R2" s="1">
        <f t="shared" si="40"/>
        <v>425</v>
      </c>
      <c r="S2" s="1">
        <f t="shared" si="40"/>
        <v>2120</v>
      </c>
      <c r="T2" s="1">
        <f t="shared" si="40"/>
        <v>357</v>
      </c>
      <c r="U2" s="1">
        <f t="shared" si="40"/>
        <v>614</v>
      </c>
      <c r="V2" s="1">
        <f t="shared" si="40"/>
        <v>190</v>
      </c>
      <c r="W2" s="1">
        <f t="shared" si="40"/>
        <v>420</v>
      </c>
      <c r="X2" s="1">
        <f t="shared" si="40"/>
        <v>113</v>
      </c>
      <c r="Y2" s="1">
        <f t="shared" si="40"/>
        <v>154</v>
      </c>
      <c r="Z2" s="1">
        <f t="shared" si="40"/>
        <v>32</v>
      </c>
      <c r="AA2" s="1">
        <f t="shared" si="40"/>
        <v>1785.5</v>
      </c>
      <c r="AB2" s="1">
        <f t="shared" si="40"/>
        <v>368</v>
      </c>
      <c r="AC2" s="1">
        <f t="shared" si="40"/>
        <v>1927</v>
      </c>
      <c r="AD2" s="1">
        <f t="shared" si="40"/>
        <v>362</v>
      </c>
      <c r="AE2" s="1">
        <f t="shared" si="40"/>
        <v>27</v>
      </c>
      <c r="AF2" s="1">
        <f t="shared" si="40"/>
        <v>5</v>
      </c>
      <c r="AG2" s="1">
        <f t="shared" si="40"/>
        <v>176</v>
      </c>
      <c r="AH2" s="1">
        <f t="shared" si="40"/>
        <v>29</v>
      </c>
      <c r="AI2" s="1">
        <f t="shared" si="40"/>
        <v>215</v>
      </c>
      <c r="AJ2" s="1">
        <f t="shared" si="40"/>
        <v>59</v>
      </c>
      <c r="AK2" s="1">
        <f t="shared" si="40"/>
        <v>121</v>
      </c>
      <c r="AL2" s="1">
        <f t="shared" si="40"/>
        <v>17</v>
      </c>
      <c r="AM2" s="1">
        <f t="shared" si="40"/>
        <v>548</v>
      </c>
      <c r="AN2" s="1">
        <f t="shared" si="40"/>
        <v>106</v>
      </c>
      <c r="AO2" s="1">
        <f t="shared" si="40"/>
        <v>-1</v>
      </c>
      <c r="AP2" s="1">
        <f t="shared" si="40"/>
        <v>12</v>
      </c>
      <c r="AQ2" s="1">
        <f t="shared" si="40"/>
        <v>381</v>
      </c>
      <c r="AR2" s="1">
        <f t="shared" si="40"/>
        <v>93</v>
      </c>
      <c r="AS2" s="1">
        <f t="shared" si="40"/>
        <v>8</v>
      </c>
      <c r="AT2" s="1">
        <f t="shared" si="40"/>
        <v>11</v>
      </c>
      <c r="AU2" s="1">
        <f t="shared" si="40"/>
        <v>34</v>
      </c>
      <c r="AV2" s="1">
        <f t="shared" si="40"/>
        <v>4</v>
      </c>
      <c r="AW2" s="1">
        <f t="shared" si="40"/>
        <v>14</v>
      </c>
      <c r="AX2" s="1">
        <f t="shared" si="40"/>
        <v>5</v>
      </c>
      <c r="AY2" s="1">
        <f t="shared" si="40"/>
        <v>126</v>
      </c>
      <c r="AZ2" s="1">
        <f t="shared" si="40"/>
        <v>28</v>
      </c>
      <c r="BA2" s="1">
        <f t="shared" ref="BA2:BD2" si="41">BA4+BA6+BA8</f>
        <v>34</v>
      </c>
      <c r="BB2" s="1">
        <f t="shared" si="41"/>
        <v>2</v>
      </c>
      <c r="BC2" s="1">
        <f t="shared" si="41"/>
        <v>121</v>
      </c>
      <c r="BD2" s="1">
        <f t="shared" si="41"/>
        <v>27</v>
      </c>
      <c r="BE2" s="1">
        <f t="shared" ref="BE2:BF2" si="42">BE4+BE6+BE8</f>
        <v>990</v>
      </c>
      <c r="BF2" s="1">
        <f t="shared" si="42"/>
        <v>208</v>
      </c>
      <c r="BG2" s="1">
        <f t="shared" ref="BG2:BL2" si="43">BG4+BG6+BG8</f>
        <v>209</v>
      </c>
      <c r="BH2" s="1">
        <f t="shared" si="43"/>
        <v>40</v>
      </c>
      <c r="BI2" s="1">
        <f t="shared" si="43"/>
        <v>406</v>
      </c>
      <c r="BJ2" s="1">
        <f t="shared" si="43"/>
        <v>76</v>
      </c>
      <c r="BK2" s="1">
        <f t="shared" si="43"/>
        <v>121</v>
      </c>
      <c r="BL2" s="1">
        <f t="shared" si="43"/>
        <v>22</v>
      </c>
      <c r="BM2" s="1">
        <f t="shared" ref="BM2:BV2" si="44">BM4+BM6+BM8</f>
        <v>53</v>
      </c>
      <c r="BN2" s="1">
        <f t="shared" si="44"/>
        <v>5</v>
      </c>
      <c r="BO2" s="1">
        <f t="shared" si="44"/>
        <v>33</v>
      </c>
      <c r="BP2" s="1">
        <f t="shared" si="44"/>
        <v>4</v>
      </c>
      <c r="BQ2" s="1">
        <f t="shared" si="44"/>
        <v>135</v>
      </c>
      <c r="BR2" s="1">
        <f t="shared" si="44"/>
        <v>20</v>
      </c>
      <c r="BS2" s="1">
        <f t="shared" si="44"/>
        <v>108</v>
      </c>
      <c r="BT2" s="1">
        <f t="shared" si="44"/>
        <v>20</v>
      </c>
      <c r="BU2" s="1">
        <f t="shared" si="44"/>
        <v>94</v>
      </c>
      <c r="BV2" s="1">
        <f t="shared" si="44"/>
        <v>28</v>
      </c>
      <c r="BW2" s="1">
        <f t="shared" ref="BW2:CD2" si="45">BW4+BW6+BW8</f>
        <v>59</v>
      </c>
      <c r="BX2" s="1">
        <f t="shared" si="45"/>
        <v>8</v>
      </c>
      <c r="BY2" s="1">
        <f t="shared" si="45"/>
        <v>22</v>
      </c>
      <c r="BZ2" s="1">
        <f t="shared" si="45"/>
        <v>8</v>
      </c>
      <c r="CA2" s="1">
        <f t="shared" si="45"/>
        <v>72</v>
      </c>
      <c r="CB2" s="1">
        <f t="shared" si="45"/>
        <v>8</v>
      </c>
      <c r="CC2" s="1">
        <f t="shared" si="45"/>
        <v>25</v>
      </c>
      <c r="CD2" s="1">
        <f t="shared" si="45"/>
        <v>5</v>
      </c>
    </row>
    <row r="3" spans="1:87" x14ac:dyDescent="0.3">
      <c r="A3" s="1" t="s">
        <v>4</v>
      </c>
      <c r="B3" s="1" t="s">
        <v>1</v>
      </c>
      <c r="C3" s="1">
        <f>C4/D4</f>
        <v>4.5925925925925926</v>
      </c>
      <c r="D3" s="1" t="s">
        <v>2</v>
      </c>
      <c r="E3" s="1">
        <f t="shared" ref="E3" si="46">E4/F4</f>
        <v>3.3414634146341462</v>
      </c>
      <c r="F3" s="1" t="s">
        <v>2</v>
      </c>
      <c r="G3" s="1">
        <f t="shared" ref="G3" si="47">G4/H4</f>
        <v>7.2666666666666666</v>
      </c>
      <c r="H3" s="1" t="s">
        <v>2</v>
      </c>
      <c r="I3" s="1">
        <f t="shared" ref="I3" si="48">I4/J4</f>
        <v>7.78125</v>
      </c>
      <c r="J3" s="1" t="s">
        <v>2</v>
      </c>
      <c r="K3" s="1">
        <f t="shared" ref="K3" si="49">K4/L4</f>
        <v>5.5</v>
      </c>
      <c r="L3" s="1" t="s">
        <v>2</v>
      </c>
      <c r="M3" s="1">
        <f t="shared" ref="M3" si="50">M4/N4</f>
        <v>5.9268292682926829</v>
      </c>
      <c r="N3" s="1" t="s">
        <v>2</v>
      </c>
      <c r="O3" s="1">
        <f t="shared" ref="O3" si="51">O4/P4</f>
        <v>6</v>
      </c>
      <c r="P3" s="1" t="s">
        <v>2</v>
      </c>
      <c r="Q3" s="1" t="e">
        <f t="shared" ref="Q3" si="52">Q4/R4</f>
        <v>#DIV/0!</v>
      </c>
      <c r="R3" s="1" t="s">
        <v>2</v>
      </c>
      <c r="S3" s="1" t="e">
        <f t="shared" ref="S3" si="53">S4/T4</f>
        <v>#DIV/0!</v>
      </c>
      <c r="T3" s="1" t="s">
        <v>2</v>
      </c>
      <c r="U3" s="1">
        <f t="shared" ref="U3" si="54">U4/V4</f>
        <v>5.8181818181818183</v>
      </c>
      <c r="V3" s="1" t="s">
        <v>2</v>
      </c>
      <c r="W3" s="1">
        <f t="shared" ref="W3" si="55">W4/X4</f>
        <v>6.1111111111111107</v>
      </c>
      <c r="X3" s="1" t="s">
        <v>2</v>
      </c>
      <c r="Y3" s="1">
        <f t="shared" ref="Y3" si="56">Y4/Z4</f>
        <v>4.8125</v>
      </c>
      <c r="Z3" s="1" t="s">
        <v>2</v>
      </c>
      <c r="AA3" s="1">
        <f t="shared" ref="AA3" si="57">AA4/AB4</f>
        <v>4.2380952380952381</v>
      </c>
      <c r="AB3" s="1" t="s">
        <v>2</v>
      </c>
      <c r="AC3" s="1" t="e">
        <f t="shared" ref="AC3" si="58">AC4/AD4</f>
        <v>#DIV/0!</v>
      </c>
      <c r="AD3" s="1" t="s">
        <v>2</v>
      </c>
      <c r="AE3" s="1" t="e">
        <f t="shared" ref="AE3" si="59">AE4/AF4</f>
        <v>#DIV/0!</v>
      </c>
      <c r="AF3" s="1" t="s">
        <v>2</v>
      </c>
      <c r="AG3" s="1" t="e">
        <f t="shared" ref="AG3" si="60">AG4/AH4</f>
        <v>#DIV/0!</v>
      </c>
      <c r="AH3" s="1" t="s">
        <v>2</v>
      </c>
      <c r="AI3" s="1" t="e">
        <f t="shared" ref="AI3" si="61">AI4/AJ4</f>
        <v>#DIV/0!</v>
      </c>
      <c r="AJ3" s="1" t="s">
        <v>2</v>
      </c>
      <c r="AK3" s="1" t="e">
        <f t="shared" ref="AK3" si="62">AK4/AL4</f>
        <v>#DIV/0!</v>
      </c>
      <c r="AL3" s="1" t="s">
        <v>2</v>
      </c>
      <c r="AM3" s="1" t="e">
        <f t="shared" ref="AM3" si="63">AM4/AN4</f>
        <v>#DIV/0!</v>
      </c>
      <c r="AN3" s="1" t="s">
        <v>2</v>
      </c>
      <c r="AO3" s="1" t="e">
        <f t="shared" ref="AO3" si="64">AO4/AP4</f>
        <v>#DIV/0!</v>
      </c>
      <c r="AP3" s="1" t="s">
        <v>2</v>
      </c>
      <c r="AQ3" s="1" t="e">
        <f t="shared" ref="AQ3" si="65">AQ4/AR4</f>
        <v>#DIV/0!</v>
      </c>
      <c r="AR3" s="1" t="s">
        <v>2</v>
      </c>
      <c r="AS3" s="1" t="e">
        <f t="shared" ref="AS3" si="66">AS4/AT4</f>
        <v>#DIV/0!</v>
      </c>
      <c r="AT3" s="1" t="s">
        <v>2</v>
      </c>
      <c r="AU3" s="1" t="e">
        <f t="shared" ref="AU3" si="67">AU4/AV4</f>
        <v>#DIV/0!</v>
      </c>
      <c r="AV3" s="1" t="s">
        <v>2</v>
      </c>
      <c r="AW3" s="1" t="e">
        <f t="shared" ref="AW3" si="68">AW4/AX4</f>
        <v>#DIV/0!</v>
      </c>
      <c r="AX3" s="1" t="s">
        <v>2</v>
      </c>
      <c r="AY3" s="1" t="e">
        <f t="shared" ref="AY3" si="69">AY4/AZ4</f>
        <v>#DIV/0!</v>
      </c>
      <c r="AZ3" s="1" t="s">
        <v>2</v>
      </c>
      <c r="BA3" s="1" t="e">
        <f t="shared" ref="BA3" si="70">BA4/BB4</f>
        <v>#DIV/0!</v>
      </c>
      <c r="BB3" s="1" t="s">
        <v>2</v>
      </c>
      <c r="BC3" s="1" t="e">
        <f t="shared" ref="BC3" si="71">BC4/BD4</f>
        <v>#DIV/0!</v>
      </c>
      <c r="BD3" s="1" t="s">
        <v>2</v>
      </c>
      <c r="BE3" s="1" t="e">
        <f t="shared" ref="BE3" si="72">BE4/BF4</f>
        <v>#DIV/0!</v>
      </c>
      <c r="BF3" s="1" t="s">
        <v>2</v>
      </c>
      <c r="BG3" s="1" t="e">
        <f t="shared" ref="BG3" si="73">BG4/BH4</f>
        <v>#DIV/0!</v>
      </c>
      <c r="BH3" s="1" t="s">
        <v>2</v>
      </c>
      <c r="BI3" s="1" t="e">
        <f t="shared" ref="BI3" si="74">BI4/BJ4</f>
        <v>#DIV/0!</v>
      </c>
      <c r="BJ3" s="1" t="s">
        <v>2</v>
      </c>
      <c r="BK3" s="1" t="e">
        <f t="shared" ref="BK3" si="75">BK4/BL4</f>
        <v>#DIV/0!</v>
      </c>
      <c r="BL3" s="1" t="s">
        <v>2</v>
      </c>
      <c r="BM3" s="1" t="e">
        <f t="shared" ref="BM3" si="76">BM4/BN4</f>
        <v>#DIV/0!</v>
      </c>
      <c r="BN3" s="1" t="s">
        <v>2</v>
      </c>
      <c r="BO3" s="1" t="e">
        <f t="shared" ref="BO3" si="77">BO4/BP4</f>
        <v>#DIV/0!</v>
      </c>
      <c r="BP3" s="1" t="s">
        <v>2</v>
      </c>
      <c r="BQ3" s="1" t="e">
        <f t="shared" ref="BQ3" si="78">BQ4/BR4</f>
        <v>#DIV/0!</v>
      </c>
      <c r="BR3" s="1" t="s">
        <v>2</v>
      </c>
      <c r="BS3" s="1" t="e">
        <f t="shared" ref="BS3" si="79">BS4/BT4</f>
        <v>#DIV/0!</v>
      </c>
      <c r="BT3" s="1" t="s">
        <v>2</v>
      </c>
      <c r="BU3" s="1" t="e">
        <f t="shared" ref="BU3" si="80">BU4/BV4</f>
        <v>#DIV/0!</v>
      </c>
      <c r="BV3" s="1" t="s">
        <v>2</v>
      </c>
      <c r="BW3" s="1" t="e">
        <f t="shared" ref="BW3" si="81">BW4/BX4</f>
        <v>#DIV/0!</v>
      </c>
      <c r="BX3" s="1" t="s">
        <v>2</v>
      </c>
      <c r="BY3" s="1" t="e">
        <f t="shared" ref="BY3" si="82">BY4/BZ4</f>
        <v>#DIV/0!</v>
      </c>
      <c r="BZ3" s="1" t="s">
        <v>2</v>
      </c>
      <c r="CA3" s="1" t="e">
        <f t="shared" ref="CA3" si="83">CA4/CB4</f>
        <v>#DIV/0!</v>
      </c>
      <c r="CB3" s="1" t="s">
        <v>2</v>
      </c>
      <c r="CC3" s="1" t="e">
        <f t="shared" ref="CC3" si="84">CC4/CD4</f>
        <v>#DIV/0!</v>
      </c>
      <c r="CD3" s="1" t="s">
        <v>2</v>
      </c>
      <c r="CG3" s="1" t="s">
        <v>49</v>
      </c>
      <c r="CI3" s="1" t="s">
        <v>28</v>
      </c>
    </row>
    <row r="4" spans="1:87" x14ac:dyDescent="0.3">
      <c r="B4" s="1" t="s">
        <v>3</v>
      </c>
      <c r="C4" s="1">
        <f>SUM(C197:C208)</f>
        <v>620</v>
      </c>
      <c r="D4" s="1">
        <f>SUM(D197:D208)</f>
        <v>135</v>
      </c>
      <c r="E4" s="1">
        <f t="shared" ref="E4:J4" si="85">SUM(E197:E208)</f>
        <v>274</v>
      </c>
      <c r="F4" s="1">
        <f t="shared" si="85"/>
        <v>82</v>
      </c>
      <c r="G4" s="1">
        <f t="shared" si="85"/>
        <v>981</v>
      </c>
      <c r="H4" s="1">
        <f t="shared" si="85"/>
        <v>135</v>
      </c>
      <c r="I4" s="1">
        <f t="shared" si="85"/>
        <v>498</v>
      </c>
      <c r="J4" s="1">
        <f t="shared" si="85"/>
        <v>64</v>
      </c>
      <c r="K4" s="1">
        <f t="shared" ref="K4:AZ4" si="86">SUM(K197:K208)</f>
        <v>44</v>
      </c>
      <c r="L4" s="1">
        <f t="shared" si="86"/>
        <v>8</v>
      </c>
      <c r="M4" s="1">
        <f t="shared" si="86"/>
        <v>243</v>
      </c>
      <c r="N4" s="1">
        <f t="shared" si="86"/>
        <v>41</v>
      </c>
      <c r="O4" s="1">
        <f t="shared" si="86"/>
        <v>12</v>
      </c>
      <c r="P4" s="1">
        <f t="shared" si="86"/>
        <v>2</v>
      </c>
      <c r="Q4" s="1">
        <f t="shared" si="86"/>
        <v>0</v>
      </c>
      <c r="R4" s="1">
        <f t="shared" si="86"/>
        <v>0</v>
      </c>
      <c r="S4" s="1">
        <f t="shared" si="86"/>
        <v>0</v>
      </c>
      <c r="T4" s="1">
        <f t="shared" si="86"/>
        <v>0</v>
      </c>
      <c r="U4" s="1">
        <f t="shared" si="86"/>
        <v>64</v>
      </c>
      <c r="V4" s="1">
        <f t="shared" si="86"/>
        <v>11</v>
      </c>
      <c r="W4" s="1">
        <f t="shared" si="86"/>
        <v>55</v>
      </c>
      <c r="X4" s="1">
        <f t="shared" si="86"/>
        <v>9</v>
      </c>
      <c r="Y4" s="1">
        <f t="shared" si="86"/>
        <v>154</v>
      </c>
      <c r="Z4" s="1">
        <f t="shared" si="86"/>
        <v>32</v>
      </c>
      <c r="AA4" s="1">
        <f t="shared" si="86"/>
        <v>89</v>
      </c>
      <c r="AB4" s="1">
        <f t="shared" si="86"/>
        <v>21</v>
      </c>
      <c r="AC4" s="1">
        <f t="shared" si="86"/>
        <v>0</v>
      </c>
      <c r="AD4" s="1">
        <f t="shared" si="86"/>
        <v>0</v>
      </c>
      <c r="AE4" s="1">
        <f t="shared" si="86"/>
        <v>0</v>
      </c>
      <c r="AF4" s="1">
        <f t="shared" si="86"/>
        <v>0</v>
      </c>
      <c r="AG4" s="1">
        <f t="shared" si="86"/>
        <v>0</v>
      </c>
      <c r="AH4" s="1">
        <f t="shared" si="86"/>
        <v>0</v>
      </c>
      <c r="AI4" s="1">
        <f t="shared" si="86"/>
        <v>0</v>
      </c>
      <c r="AJ4" s="1">
        <f t="shared" si="86"/>
        <v>0</v>
      </c>
      <c r="AK4" s="1">
        <f t="shared" si="86"/>
        <v>0</v>
      </c>
      <c r="AL4" s="1">
        <f t="shared" si="86"/>
        <v>0</v>
      </c>
      <c r="AM4" s="1">
        <f t="shared" si="86"/>
        <v>0</v>
      </c>
      <c r="AN4" s="1">
        <f t="shared" si="86"/>
        <v>0</v>
      </c>
      <c r="AO4" s="1">
        <f t="shared" si="86"/>
        <v>0</v>
      </c>
      <c r="AP4" s="1">
        <f t="shared" si="86"/>
        <v>0</v>
      </c>
      <c r="AQ4" s="1">
        <f t="shared" si="86"/>
        <v>0</v>
      </c>
      <c r="AR4" s="1">
        <f t="shared" si="86"/>
        <v>0</v>
      </c>
      <c r="AS4" s="1">
        <f t="shared" si="86"/>
        <v>0</v>
      </c>
      <c r="AT4" s="1">
        <f t="shared" si="86"/>
        <v>0</v>
      </c>
      <c r="AU4" s="1">
        <f t="shared" si="86"/>
        <v>0</v>
      </c>
      <c r="AV4" s="1">
        <f t="shared" si="86"/>
        <v>0</v>
      </c>
      <c r="AW4" s="1">
        <f t="shared" si="86"/>
        <v>0</v>
      </c>
      <c r="AX4" s="1">
        <f t="shared" si="86"/>
        <v>0</v>
      </c>
      <c r="AY4" s="1">
        <f t="shared" si="86"/>
        <v>0</v>
      </c>
      <c r="AZ4" s="1">
        <f t="shared" si="86"/>
        <v>0</v>
      </c>
      <c r="BA4" s="1">
        <f t="shared" ref="BA4:BD4" si="87">SUM(BA197:BA208)</f>
        <v>0</v>
      </c>
      <c r="BB4" s="1">
        <f t="shared" si="87"/>
        <v>0</v>
      </c>
      <c r="BC4" s="1">
        <f t="shared" si="87"/>
        <v>0</v>
      </c>
      <c r="BD4" s="1">
        <f t="shared" si="87"/>
        <v>0</v>
      </c>
      <c r="BE4" s="1">
        <f t="shared" ref="BE4:BF4" si="88">SUM(BE197:BE208)</f>
        <v>0</v>
      </c>
      <c r="BF4" s="1">
        <f t="shared" si="88"/>
        <v>0</v>
      </c>
      <c r="BG4" s="1">
        <f t="shared" ref="BG4:BL4" si="89">SUM(BG197:BG208)</f>
        <v>0</v>
      </c>
      <c r="BH4" s="1">
        <f t="shared" si="89"/>
        <v>0</v>
      </c>
      <c r="BI4" s="1">
        <f t="shared" si="89"/>
        <v>0</v>
      </c>
      <c r="BJ4" s="1">
        <f t="shared" si="89"/>
        <v>0</v>
      </c>
      <c r="BK4" s="1">
        <f t="shared" si="89"/>
        <v>0</v>
      </c>
      <c r="BL4" s="1">
        <f t="shared" si="89"/>
        <v>0</v>
      </c>
      <c r="BM4" s="1">
        <f t="shared" ref="BM4:BV4" si="90">SUM(BM197:BM208)</f>
        <v>0</v>
      </c>
      <c r="BN4" s="1">
        <f t="shared" si="90"/>
        <v>0</v>
      </c>
      <c r="BO4" s="1">
        <f t="shared" si="90"/>
        <v>0</v>
      </c>
      <c r="BP4" s="1">
        <f t="shared" si="90"/>
        <v>0</v>
      </c>
      <c r="BQ4" s="1">
        <f t="shared" si="90"/>
        <v>0</v>
      </c>
      <c r="BR4" s="1">
        <f t="shared" si="90"/>
        <v>0</v>
      </c>
      <c r="BS4" s="1">
        <f t="shared" si="90"/>
        <v>0</v>
      </c>
      <c r="BT4" s="1">
        <f t="shared" si="90"/>
        <v>0</v>
      </c>
      <c r="BU4" s="1">
        <f t="shared" si="90"/>
        <v>0</v>
      </c>
      <c r="BV4" s="1">
        <f t="shared" si="90"/>
        <v>0</v>
      </c>
      <c r="BW4" s="1">
        <f t="shared" ref="BW4:CD4" si="91">SUM(BW197:BW208)</f>
        <v>0</v>
      </c>
      <c r="BX4" s="1">
        <f t="shared" si="91"/>
        <v>0</v>
      </c>
      <c r="BY4" s="1">
        <f t="shared" si="91"/>
        <v>0</v>
      </c>
      <c r="BZ4" s="1">
        <f t="shared" si="91"/>
        <v>0</v>
      </c>
      <c r="CA4" s="1">
        <f t="shared" si="91"/>
        <v>0</v>
      </c>
      <c r="CB4" s="1">
        <f t="shared" si="91"/>
        <v>0</v>
      </c>
      <c r="CC4" s="1">
        <f t="shared" si="91"/>
        <v>0</v>
      </c>
      <c r="CD4" s="1">
        <f t="shared" si="91"/>
        <v>0</v>
      </c>
      <c r="CH4" s="1" t="b">
        <f>NOT(OR("/",AVERAGE($C$1:$AL$1)&gt;AC$1,SMALL($C$1:$AL$1,1)=AC$1,SMALL($C$1:$AL$1,2)=AC$1,SMALL($C$1:$AL$1,3)=AC$1,LARGE($C$1:$AL$1,1)=AC$1,LARGE($C$1:$AL$1,2)=AC$1,LARGE($C$1:$AL$1,3)=AC$1))</f>
        <v>0</v>
      </c>
      <c r="CI4" s="1" t="e">
        <f>$C$10:$C$208,$E$10:$E$208,$G$10:$G$208,$I$10:$I$208,$K$10:$K$208,$M$10:$M$208,$O$10:$O$208,$Q$10:$Q$208,$S$10:$S$208,$U$10:$U$208,$W$10:$W$208,$Y$10:$Y$208,$AA$10:$AA$208,$AC$10:$AC$208,$AE$10:$AE$208,$AG$10:$AG$208,$AI$10:$AI$208,$AK$10:$AK$208,$AM$10:$AM$208,$AO$10:$AO$208,$AQ$10:$AQ$208,$AS$10:$AS$208,$AU$10:$AU$208,$AW$10:$AW$208,$AY$10:$AY$208,$BA$10:$BA$208,$BC$10:$BC$208,$BE$10:$BE$208</f>
        <v>#VALUE!</v>
      </c>
    </row>
    <row r="5" spans="1:87" x14ac:dyDescent="0.3">
      <c r="A5" s="1" t="s">
        <v>5</v>
      </c>
      <c r="B5" s="1" t="s">
        <v>1</v>
      </c>
      <c r="C5" s="1">
        <f>C6/D6</f>
        <v>4.8756756756756756</v>
      </c>
      <c r="D5" s="1" t="s">
        <v>2</v>
      </c>
      <c r="E5" s="1">
        <f t="shared" ref="E5" si="92">E6/F6</f>
        <v>6.131455399061033</v>
      </c>
      <c r="F5" s="1" t="s">
        <v>2</v>
      </c>
      <c r="G5" s="1">
        <f t="shared" ref="G5" si="93">G6/H6</f>
        <v>6.8512820512820509</v>
      </c>
      <c r="H5" s="1" t="s">
        <v>2</v>
      </c>
      <c r="I5" s="1">
        <f t="shared" ref="I5" si="94">I6/J6</f>
        <v>6.5287356321839081</v>
      </c>
      <c r="J5" s="1" t="s">
        <v>2</v>
      </c>
      <c r="K5" s="1">
        <f t="shared" ref="K5" si="95">K6/L6</f>
        <v>6.6756756756756754</v>
      </c>
      <c r="L5" s="1" t="s">
        <v>2</v>
      </c>
      <c r="M5" s="1">
        <f t="shared" ref="M5" si="96">M6/N6</f>
        <v>3.8979591836734695</v>
      </c>
      <c r="N5" s="1" t="s">
        <v>2</v>
      </c>
      <c r="O5" s="1">
        <f t="shared" ref="O5" si="97">O6/P6</f>
        <v>5.85</v>
      </c>
      <c r="P5" s="1" t="s">
        <v>2</v>
      </c>
      <c r="Q5" s="1">
        <f t="shared" ref="Q5" si="98">Q6/R6</f>
        <v>5.8133333333333335</v>
      </c>
      <c r="R5" s="1" t="s">
        <v>2</v>
      </c>
      <c r="S5" s="1">
        <f t="shared" ref="S5" si="99">S6/T6</f>
        <v>7.1037735849056602</v>
      </c>
      <c r="T5" s="1" t="s">
        <v>2</v>
      </c>
      <c r="U5" s="1">
        <f t="shared" ref="U5" si="100">U6/V6</f>
        <v>2.096774193548387</v>
      </c>
      <c r="V5" s="1" t="s">
        <v>2</v>
      </c>
      <c r="W5" s="1">
        <f t="shared" ref="W5" si="101">W6/X6</f>
        <v>1.8214285714285714</v>
      </c>
      <c r="X5" s="1" t="s">
        <v>2</v>
      </c>
      <c r="Y5" s="1" t="e">
        <f t="shared" ref="Y5" si="102">Y6/Z6</f>
        <v>#DIV/0!</v>
      </c>
      <c r="Z5" s="1" t="s">
        <v>2</v>
      </c>
      <c r="AA5" s="1">
        <f t="shared" ref="AA5" si="103">AA6/AB6</f>
        <v>2.0249999999999999</v>
      </c>
      <c r="AB5" s="1" t="s">
        <v>2</v>
      </c>
      <c r="AC5" s="1">
        <f t="shared" ref="AC5" si="104">AC6/AD6</f>
        <v>1.6</v>
      </c>
      <c r="AD5" s="1" t="s">
        <v>2</v>
      </c>
      <c r="AE5" s="1">
        <f t="shared" ref="AE5" si="105">AE6/AF6</f>
        <v>9</v>
      </c>
      <c r="AF5" s="1" t="s">
        <v>2</v>
      </c>
      <c r="AG5" s="1">
        <f t="shared" ref="AG5" si="106">AG6/AH6</f>
        <v>6.068965517241379</v>
      </c>
      <c r="AH5" s="1" t="s">
        <v>2</v>
      </c>
      <c r="AI5" s="1" t="e">
        <f t="shared" ref="AI5" si="107">AI6/AJ6</f>
        <v>#DIV/0!</v>
      </c>
      <c r="AJ5" s="1" t="s">
        <v>2</v>
      </c>
      <c r="AK5" s="1">
        <f t="shared" ref="AK5" si="108">AK6/AL6</f>
        <v>7.117647058823529</v>
      </c>
      <c r="AL5" s="1" t="s">
        <v>2</v>
      </c>
      <c r="AM5" s="1" t="e">
        <f t="shared" ref="AM5" si="109">AM6/AN6</f>
        <v>#DIV/0!</v>
      </c>
      <c r="AN5" s="1" t="s">
        <v>2</v>
      </c>
      <c r="AO5" s="1" t="e">
        <f t="shared" ref="AO5" si="110">AO6/AP6</f>
        <v>#DIV/0!</v>
      </c>
      <c r="AP5" s="1" t="s">
        <v>2</v>
      </c>
      <c r="AQ5" s="1">
        <f t="shared" ref="AQ5" si="111">AQ6/AR6</f>
        <v>3.75</v>
      </c>
      <c r="AR5" s="1" t="s">
        <v>2</v>
      </c>
      <c r="AS5" s="1" t="e">
        <f t="shared" ref="AS5" si="112">AS6/AT6</f>
        <v>#DIV/0!</v>
      </c>
      <c r="AT5" s="1" t="s">
        <v>2</v>
      </c>
      <c r="AU5" s="1" t="e">
        <f t="shared" ref="AU5" si="113">AU6/AV6</f>
        <v>#DIV/0!</v>
      </c>
      <c r="AV5" s="1" t="s">
        <v>2</v>
      </c>
      <c r="AW5" s="1" t="e">
        <f t="shared" ref="AW5" si="114">AW6/AX6</f>
        <v>#DIV/0!</v>
      </c>
      <c r="AX5" s="1" t="s">
        <v>2</v>
      </c>
      <c r="AY5" s="1">
        <f t="shared" ref="AY5" si="115">AY6/AZ6</f>
        <v>2.75</v>
      </c>
      <c r="AZ5" s="1" t="s">
        <v>2</v>
      </c>
      <c r="BA5" s="1" t="e">
        <f t="shared" ref="BA5" si="116">BA6/BB6</f>
        <v>#DIV/0!</v>
      </c>
      <c r="BB5" s="1" t="s">
        <v>2</v>
      </c>
      <c r="BC5" s="1" t="e">
        <f t="shared" ref="BC5" si="117">BC6/BD6</f>
        <v>#DIV/0!</v>
      </c>
      <c r="BD5" s="1" t="s">
        <v>2</v>
      </c>
      <c r="BE5" s="1" t="e">
        <f t="shared" ref="BE5" si="118">BE6/BF6</f>
        <v>#DIV/0!</v>
      </c>
      <c r="BF5" s="1" t="s">
        <v>2</v>
      </c>
      <c r="BG5" s="1" t="e">
        <f t="shared" ref="BG5" si="119">BG6/BH6</f>
        <v>#DIV/0!</v>
      </c>
      <c r="BH5" s="1" t="s">
        <v>2</v>
      </c>
      <c r="BI5" s="1" t="e">
        <f t="shared" ref="BI5" si="120">BI6/BJ6</f>
        <v>#DIV/0!</v>
      </c>
      <c r="BJ5" s="1" t="s">
        <v>2</v>
      </c>
      <c r="BK5" s="1" t="e">
        <f t="shared" ref="BK5" si="121">BK6/BL6</f>
        <v>#DIV/0!</v>
      </c>
      <c r="BL5" s="1" t="s">
        <v>2</v>
      </c>
      <c r="BM5" s="1" t="e">
        <f t="shared" ref="BM5" si="122">BM6/BN6</f>
        <v>#DIV/0!</v>
      </c>
      <c r="BN5" s="1" t="s">
        <v>2</v>
      </c>
      <c r="BO5" s="1" t="e">
        <f t="shared" ref="BO5" si="123">BO6/BP6</f>
        <v>#DIV/0!</v>
      </c>
      <c r="BP5" s="1" t="s">
        <v>2</v>
      </c>
      <c r="BQ5" s="1" t="e">
        <f t="shared" ref="BQ5" si="124">BQ6/BR6</f>
        <v>#DIV/0!</v>
      </c>
      <c r="BR5" s="1" t="s">
        <v>2</v>
      </c>
      <c r="BS5" s="1" t="e">
        <f t="shared" ref="BS5" si="125">BS6/BT6</f>
        <v>#DIV/0!</v>
      </c>
      <c r="BT5" s="1" t="s">
        <v>2</v>
      </c>
      <c r="BU5" s="1" t="e">
        <f t="shared" ref="BU5" si="126">BU6/BV6</f>
        <v>#DIV/0!</v>
      </c>
      <c r="BV5" s="1" t="s">
        <v>2</v>
      </c>
      <c r="BW5" s="1" t="e">
        <f t="shared" ref="BW5" si="127">BW6/BX6</f>
        <v>#DIV/0!</v>
      </c>
      <c r="BX5" s="1" t="s">
        <v>2</v>
      </c>
      <c r="BY5" s="1" t="e">
        <f t="shared" ref="BY5" si="128">BY6/BZ6</f>
        <v>#DIV/0!</v>
      </c>
      <c r="BZ5" s="1" t="s">
        <v>2</v>
      </c>
      <c r="CA5" s="1" t="e">
        <f t="shared" ref="CA5" si="129">CA6/CB6</f>
        <v>#DIV/0!</v>
      </c>
      <c r="CB5" s="1" t="s">
        <v>2</v>
      </c>
      <c r="CC5" s="1" t="e">
        <f t="shared" ref="CC5" si="130">CC6/CD6</f>
        <v>#DIV/0!</v>
      </c>
      <c r="CD5" s="1" t="s">
        <v>2</v>
      </c>
      <c r="CI5" s="1" t="e">
        <f>$D$10:$D$208,$F$10:$F$208,$H$10:$H$208,$J$10:$J$208,$L$10:$L$208,$N$10:$N$208,$P$10:$P$208,$R$10:$R$208,$T$10:$T$208,$V$10:$V$208,$X$10:$X$208,$Z$10:$Z$208,$AB$10:$AB$208,$AD$10:$AD$208,$AF$10:$AF$208,$AH$10:$AH$208,$AJ$10:$AJ$208,$AL$10:$AL$208,$AN$10:$AN$208,$AP$10:$AP$208,$AR$10:$AR$208,$AT$10:$AT$208,$AV$10:$AV$208,$AX$10:$AX$208,$AZ$10:$AZ$208,$BB$10:$BB$208,$BD$10:$BD$208,$BF$10:$BF$208</f>
        <v>#VALUE!</v>
      </c>
    </row>
    <row r="6" spans="1:87" x14ac:dyDescent="0.3">
      <c r="B6" s="1" t="s">
        <v>3</v>
      </c>
      <c r="C6" s="1">
        <f>SUM(C153:C195)</f>
        <v>1804</v>
      </c>
      <c r="D6" s="1">
        <f>SUM(D153:D195)</f>
        <v>370</v>
      </c>
      <c r="E6" s="1">
        <f t="shared" ref="E6:J6" si="131">SUM(E153:E195)</f>
        <v>1306</v>
      </c>
      <c r="F6" s="1">
        <f t="shared" si="131"/>
        <v>213</v>
      </c>
      <c r="G6" s="1">
        <f t="shared" si="131"/>
        <v>2672</v>
      </c>
      <c r="H6" s="1">
        <f t="shared" si="131"/>
        <v>390</v>
      </c>
      <c r="I6" s="1">
        <f t="shared" si="131"/>
        <v>568</v>
      </c>
      <c r="J6" s="1">
        <f t="shared" si="131"/>
        <v>87</v>
      </c>
      <c r="K6" s="1">
        <f t="shared" ref="K6:AZ6" si="132">SUM(K153:K195)</f>
        <v>494</v>
      </c>
      <c r="L6" s="1">
        <f t="shared" si="132"/>
        <v>74</v>
      </c>
      <c r="M6" s="1">
        <f t="shared" si="132"/>
        <v>573</v>
      </c>
      <c r="N6" s="1">
        <f t="shared" si="132"/>
        <v>147</v>
      </c>
      <c r="O6" s="1">
        <f t="shared" si="132"/>
        <v>117</v>
      </c>
      <c r="P6" s="1">
        <f t="shared" si="132"/>
        <v>20</v>
      </c>
      <c r="Q6" s="1">
        <f t="shared" si="132"/>
        <v>436</v>
      </c>
      <c r="R6" s="1">
        <f t="shared" si="132"/>
        <v>75</v>
      </c>
      <c r="S6" s="1">
        <f t="shared" si="132"/>
        <v>753</v>
      </c>
      <c r="T6" s="1">
        <f t="shared" si="132"/>
        <v>106</v>
      </c>
      <c r="U6" s="1">
        <f t="shared" si="132"/>
        <v>65</v>
      </c>
      <c r="V6" s="1">
        <f t="shared" si="132"/>
        <v>31</v>
      </c>
      <c r="W6" s="1">
        <f t="shared" si="132"/>
        <v>51</v>
      </c>
      <c r="X6" s="1">
        <f t="shared" si="132"/>
        <v>28</v>
      </c>
      <c r="Y6" s="1">
        <f t="shared" si="132"/>
        <v>0</v>
      </c>
      <c r="Z6" s="1">
        <f t="shared" si="132"/>
        <v>0</v>
      </c>
      <c r="AA6" s="1">
        <f t="shared" si="132"/>
        <v>81</v>
      </c>
      <c r="AB6" s="1">
        <f t="shared" si="132"/>
        <v>40</v>
      </c>
      <c r="AC6" s="1">
        <f t="shared" si="132"/>
        <v>16</v>
      </c>
      <c r="AD6" s="1">
        <f t="shared" si="132"/>
        <v>10</v>
      </c>
      <c r="AE6" s="1">
        <f t="shared" si="132"/>
        <v>27</v>
      </c>
      <c r="AF6" s="1">
        <f t="shared" si="132"/>
        <v>3</v>
      </c>
      <c r="AG6" s="1">
        <f t="shared" si="132"/>
        <v>176</v>
      </c>
      <c r="AH6" s="1">
        <f t="shared" si="132"/>
        <v>29</v>
      </c>
      <c r="AI6" s="1">
        <f t="shared" si="132"/>
        <v>0</v>
      </c>
      <c r="AJ6" s="1">
        <f t="shared" si="132"/>
        <v>0</v>
      </c>
      <c r="AK6" s="1">
        <f t="shared" si="132"/>
        <v>121</v>
      </c>
      <c r="AL6" s="1">
        <f t="shared" si="132"/>
        <v>17</v>
      </c>
      <c r="AM6" s="1">
        <f t="shared" si="132"/>
        <v>0</v>
      </c>
      <c r="AN6" s="1">
        <f t="shared" si="132"/>
        <v>0</v>
      </c>
      <c r="AO6" s="1">
        <f t="shared" si="132"/>
        <v>0</v>
      </c>
      <c r="AP6" s="1">
        <f t="shared" si="132"/>
        <v>0</v>
      </c>
      <c r="AQ6" s="1">
        <f t="shared" si="132"/>
        <v>60</v>
      </c>
      <c r="AR6" s="1">
        <f t="shared" si="132"/>
        <v>16</v>
      </c>
      <c r="AS6" s="1">
        <f t="shared" si="132"/>
        <v>0</v>
      </c>
      <c r="AT6" s="1">
        <f t="shared" si="132"/>
        <v>0</v>
      </c>
      <c r="AU6" s="1">
        <f t="shared" si="132"/>
        <v>0</v>
      </c>
      <c r="AV6" s="1">
        <f t="shared" si="132"/>
        <v>0</v>
      </c>
      <c r="AW6" s="1">
        <f t="shared" si="132"/>
        <v>0</v>
      </c>
      <c r="AX6" s="1">
        <f t="shared" si="132"/>
        <v>0</v>
      </c>
      <c r="AY6" s="1">
        <f t="shared" si="132"/>
        <v>22</v>
      </c>
      <c r="AZ6" s="1">
        <f t="shared" si="132"/>
        <v>8</v>
      </c>
      <c r="BA6" s="1">
        <f t="shared" ref="BA6:BD6" si="133">SUM(BA153:BA195)</f>
        <v>0</v>
      </c>
      <c r="BB6" s="1">
        <f t="shared" si="133"/>
        <v>0</v>
      </c>
      <c r="BC6" s="1">
        <f t="shared" si="133"/>
        <v>0</v>
      </c>
      <c r="BD6" s="1">
        <f t="shared" si="133"/>
        <v>0</v>
      </c>
      <c r="BE6" s="1">
        <f t="shared" ref="BE6:BF6" si="134">SUM(BE153:BE195)</f>
        <v>0</v>
      </c>
      <c r="BF6" s="1">
        <f t="shared" si="134"/>
        <v>0</v>
      </c>
      <c r="BG6" s="1">
        <f t="shared" ref="BG6:BL6" si="135">SUM(BG153:BG195)</f>
        <v>0</v>
      </c>
      <c r="BH6" s="1">
        <f t="shared" si="135"/>
        <v>0</v>
      </c>
      <c r="BI6" s="1">
        <f t="shared" si="135"/>
        <v>0</v>
      </c>
      <c r="BJ6" s="1">
        <f t="shared" si="135"/>
        <v>0</v>
      </c>
      <c r="BK6" s="1">
        <f t="shared" si="135"/>
        <v>0</v>
      </c>
      <c r="BL6" s="1">
        <f t="shared" si="135"/>
        <v>0</v>
      </c>
      <c r="BM6" s="1">
        <f t="shared" ref="BM6:BV6" si="136">SUM(BM153:BM195)</f>
        <v>0</v>
      </c>
      <c r="BN6" s="1">
        <f t="shared" si="136"/>
        <v>0</v>
      </c>
      <c r="BO6" s="1">
        <f t="shared" si="136"/>
        <v>0</v>
      </c>
      <c r="BP6" s="1">
        <f t="shared" si="136"/>
        <v>0</v>
      </c>
      <c r="BQ6" s="1">
        <f t="shared" si="136"/>
        <v>0</v>
      </c>
      <c r="BR6" s="1">
        <f t="shared" si="136"/>
        <v>0</v>
      </c>
      <c r="BS6" s="1">
        <f t="shared" si="136"/>
        <v>0</v>
      </c>
      <c r="BT6" s="1">
        <f t="shared" si="136"/>
        <v>0</v>
      </c>
      <c r="BU6" s="1">
        <f t="shared" si="136"/>
        <v>0</v>
      </c>
      <c r="BV6" s="1">
        <f t="shared" si="136"/>
        <v>0</v>
      </c>
      <c r="BW6" s="1">
        <f t="shared" ref="BW6:CD6" si="137">SUM(BW153:BW195)</f>
        <v>0</v>
      </c>
      <c r="BX6" s="1">
        <f t="shared" si="137"/>
        <v>0</v>
      </c>
      <c r="BY6" s="1">
        <f t="shared" si="137"/>
        <v>0</v>
      </c>
      <c r="BZ6" s="1">
        <f t="shared" si="137"/>
        <v>0</v>
      </c>
      <c r="CA6" s="1">
        <f t="shared" si="137"/>
        <v>0</v>
      </c>
      <c r="CB6" s="1">
        <f t="shared" si="137"/>
        <v>0</v>
      </c>
      <c r="CC6" s="1">
        <f t="shared" si="137"/>
        <v>0</v>
      </c>
      <c r="CD6" s="1">
        <f t="shared" si="137"/>
        <v>0</v>
      </c>
    </row>
    <row r="7" spans="1:87" x14ac:dyDescent="0.3">
      <c r="A7" s="15" t="s">
        <v>27</v>
      </c>
      <c r="B7" s="15" t="s">
        <v>1</v>
      </c>
      <c r="C7" s="15">
        <f>C8/D8</f>
        <v>6.4176470588235297</v>
      </c>
      <c r="D7" s="15" t="s">
        <v>2</v>
      </c>
      <c r="E7" s="15">
        <f t="shared" ref="E7" si="138">E8/F8</f>
        <v>6.0374999999999996</v>
      </c>
      <c r="F7" s="15" t="s">
        <v>2</v>
      </c>
      <c r="G7" s="15">
        <f t="shared" ref="G7" si="139">G8/H8</f>
        <v>7.3686666666666669</v>
      </c>
      <c r="H7" s="15" t="s">
        <v>2</v>
      </c>
      <c r="I7" s="15">
        <f t="shared" ref="I7" si="140">I8/J8</f>
        <v>3.0166666666666666</v>
      </c>
      <c r="J7" s="15" t="s">
        <v>2</v>
      </c>
      <c r="K7" s="15">
        <f t="shared" ref="K7" si="141">K8/L8</f>
        <v>3.8518518518518516</v>
      </c>
      <c r="L7" s="15" t="s">
        <v>2</v>
      </c>
      <c r="M7" s="15">
        <f t="shared" ref="M7" si="142">M8/N8</f>
        <v>5.7928348909657323</v>
      </c>
      <c r="N7" s="15" t="s">
        <v>2</v>
      </c>
      <c r="O7" s="15">
        <f t="shared" ref="O7" si="143">O8/P8</f>
        <v>6.78494623655914</v>
      </c>
      <c r="P7" s="15" t="s">
        <v>2</v>
      </c>
      <c r="Q7" s="15">
        <f t="shared" ref="Q7" si="144">Q8/R8</f>
        <v>6.2885714285714283</v>
      </c>
      <c r="R7" s="15" t="s">
        <v>2</v>
      </c>
      <c r="S7" s="15">
        <f t="shared" ref="S7" si="145">S8/T8</f>
        <v>5.4462151394422307</v>
      </c>
      <c r="T7" s="15" t="s">
        <v>2</v>
      </c>
      <c r="U7" s="15">
        <f t="shared" ref="U7" si="146">U8/V8</f>
        <v>3.2770270270270272</v>
      </c>
      <c r="V7" s="15" t="s">
        <v>2</v>
      </c>
      <c r="W7" s="15">
        <f t="shared" ref="W7" si="147">W8/X8</f>
        <v>4.1315789473684212</v>
      </c>
      <c r="X7" s="15" t="s">
        <v>2</v>
      </c>
      <c r="Y7" s="15" t="e">
        <f t="shared" ref="Y7" si="148">Y8/Z8</f>
        <v>#DIV/0!</v>
      </c>
      <c r="Z7" s="15" t="s">
        <v>2</v>
      </c>
      <c r="AA7" s="15">
        <f t="shared" ref="AA7" si="149">AA8/AB8</f>
        <v>5.2622149837133554</v>
      </c>
      <c r="AB7" s="15" t="s">
        <v>2</v>
      </c>
      <c r="AC7" s="15">
        <f t="shared" ref="AC7" si="150">AC8/AD8</f>
        <v>5.4289772727272725</v>
      </c>
      <c r="AD7" s="15" t="s">
        <v>2</v>
      </c>
      <c r="AE7" s="15">
        <f t="shared" ref="AE7" si="151">AE8/AF8</f>
        <v>0</v>
      </c>
      <c r="AF7" s="15" t="s">
        <v>2</v>
      </c>
      <c r="AG7" s="15" t="e">
        <f t="shared" ref="AG7" si="152">AG8/AH8</f>
        <v>#DIV/0!</v>
      </c>
      <c r="AH7" s="15" t="s">
        <v>2</v>
      </c>
      <c r="AI7" s="15">
        <f t="shared" ref="AI7" si="153">AI8/AJ8</f>
        <v>3.6440677966101696</v>
      </c>
      <c r="AJ7" s="15" t="s">
        <v>2</v>
      </c>
      <c r="AK7" s="15" t="e">
        <f t="shared" ref="AK7" si="154">AK8/AL8</f>
        <v>#DIV/0!</v>
      </c>
      <c r="AL7" s="15" t="s">
        <v>2</v>
      </c>
      <c r="AM7" s="15">
        <f t="shared" ref="AM7" si="155">AM8/AN8</f>
        <v>5.1698113207547172</v>
      </c>
      <c r="AN7" s="15" t="s">
        <v>2</v>
      </c>
      <c r="AO7" s="15">
        <f t="shared" ref="AO7" si="156">AO8/AP8</f>
        <v>-8.3333333333333329E-2</v>
      </c>
      <c r="AP7" s="15" t="s">
        <v>2</v>
      </c>
      <c r="AQ7" s="15">
        <f t="shared" ref="AQ7" si="157">AQ8/AR8</f>
        <v>4.1688311688311686</v>
      </c>
      <c r="AR7" s="15" t="s">
        <v>2</v>
      </c>
      <c r="AS7" s="15">
        <f t="shared" ref="AS7" si="158">AS8/AT8</f>
        <v>0.72727272727272729</v>
      </c>
      <c r="AT7" s="15" t="s">
        <v>2</v>
      </c>
      <c r="AU7" s="15">
        <f t="shared" ref="AU7" si="159">AU8/AV8</f>
        <v>8.5</v>
      </c>
      <c r="AV7" s="15" t="s">
        <v>2</v>
      </c>
      <c r="AW7" s="15">
        <f t="shared" ref="AW7" si="160">AW8/AX8</f>
        <v>2.8</v>
      </c>
      <c r="AX7" s="15" t="s">
        <v>2</v>
      </c>
      <c r="AY7" s="15">
        <f t="shared" ref="AY7" si="161">AY8/AZ8</f>
        <v>5.2</v>
      </c>
      <c r="AZ7" s="15" t="s">
        <v>2</v>
      </c>
      <c r="BA7" s="15">
        <f t="shared" ref="BA7" si="162">BA8/BB8</f>
        <v>17</v>
      </c>
      <c r="BB7" s="15" t="s">
        <v>2</v>
      </c>
      <c r="BC7" s="15">
        <f t="shared" ref="BC7" si="163">BC8/BD8</f>
        <v>4.4814814814814818</v>
      </c>
      <c r="BD7" s="15" t="s">
        <v>2</v>
      </c>
      <c r="BE7" s="15">
        <f t="shared" ref="BE7" si="164">BE8/BF8</f>
        <v>4.759615384615385</v>
      </c>
      <c r="BF7" s="15" t="s">
        <v>2</v>
      </c>
      <c r="BG7" s="15">
        <f t="shared" ref="BG7" si="165">BG8/BH8</f>
        <v>5.2249999999999996</v>
      </c>
      <c r="BH7" s="15" t="s">
        <v>2</v>
      </c>
      <c r="BI7" s="15">
        <f t="shared" ref="BI7" si="166">BI8/BJ8</f>
        <v>5.3421052631578947</v>
      </c>
      <c r="BJ7" s="15" t="s">
        <v>2</v>
      </c>
      <c r="BK7" s="15">
        <f t="shared" ref="BK7" si="167">BK8/BL8</f>
        <v>5.5</v>
      </c>
      <c r="BL7" s="15" t="s">
        <v>2</v>
      </c>
      <c r="BM7" s="15">
        <f t="shared" ref="BM7" si="168">BM8/BN8</f>
        <v>10.6</v>
      </c>
      <c r="BN7" s="15" t="s">
        <v>2</v>
      </c>
      <c r="BO7" s="15">
        <f t="shared" ref="BO7" si="169">BO8/BP8</f>
        <v>8.25</v>
      </c>
      <c r="BP7" s="15" t="s">
        <v>2</v>
      </c>
      <c r="BQ7" s="15">
        <f t="shared" ref="BQ7" si="170">BQ8/BR8</f>
        <v>6.75</v>
      </c>
      <c r="BR7" s="15" t="s">
        <v>2</v>
      </c>
      <c r="BS7" s="15">
        <f t="shared" ref="BS7" si="171">BS8/BT8</f>
        <v>5.4</v>
      </c>
      <c r="BT7" s="15" t="s">
        <v>2</v>
      </c>
      <c r="BU7" s="15">
        <f t="shared" ref="BU7" si="172">BU8/BV8</f>
        <v>3.3571428571428572</v>
      </c>
      <c r="BV7" s="15" t="s">
        <v>2</v>
      </c>
      <c r="BW7" s="15">
        <f t="shared" ref="BW7" si="173">BW8/BX8</f>
        <v>7.375</v>
      </c>
      <c r="BX7" s="15" t="s">
        <v>2</v>
      </c>
      <c r="BY7" s="15">
        <f t="shared" ref="BY7" si="174">BY8/BZ8</f>
        <v>2.75</v>
      </c>
      <c r="BZ7" s="15" t="s">
        <v>2</v>
      </c>
      <c r="CA7" s="15">
        <f t="shared" ref="CA7" si="175">CA8/CB8</f>
        <v>9</v>
      </c>
      <c r="CB7" s="15" t="s">
        <v>2</v>
      </c>
      <c r="CC7" s="15">
        <f t="shared" ref="CC7" si="176">CC8/CD8</f>
        <v>5</v>
      </c>
      <c r="CD7" s="15" t="s">
        <v>2</v>
      </c>
    </row>
    <row r="8" spans="1:87" x14ac:dyDescent="0.3">
      <c r="A8" s="15"/>
      <c r="B8" s="15" t="s">
        <v>3</v>
      </c>
      <c r="C8" s="15">
        <f>SUM(C10:C151)</f>
        <v>2182</v>
      </c>
      <c r="D8" s="15">
        <f>SUM(D10:D151)</f>
        <v>340</v>
      </c>
      <c r="E8" s="15">
        <f t="shared" ref="E8:J8" si="177">SUM(E10:E151)</f>
        <v>966</v>
      </c>
      <c r="F8" s="15">
        <f t="shared" si="177"/>
        <v>160</v>
      </c>
      <c r="G8" s="15">
        <f t="shared" si="177"/>
        <v>5526.5</v>
      </c>
      <c r="H8" s="15">
        <f t="shared" si="177"/>
        <v>750</v>
      </c>
      <c r="I8" s="15">
        <f t="shared" si="177"/>
        <v>181</v>
      </c>
      <c r="J8" s="15">
        <f t="shared" si="177"/>
        <v>60</v>
      </c>
      <c r="K8" s="15">
        <f t="shared" ref="K8:AZ8" si="178">SUM(K10:K151)</f>
        <v>104</v>
      </c>
      <c r="L8" s="15">
        <f t="shared" si="178"/>
        <v>27</v>
      </c>
      <c r="M8" s="15">
        <f t="shared" si="178"/>
        <v>3719</v>
      </c>
      <c r="N8" s="15">
        <f t="shared" si="178"/>
        <v>642</v>
      </c>
      <c r="O8" s="15">
        <f t="shared" si="178"/>
        <v>631</v>
      </c>
      <c r="P8" s="15">
        <f t="shared" si="178"/>
        <v>93</v>
      </c>
      <c r="Q8" s="15">
        <f t="shared" si="178"/>
        <v>2201</v>
      </c>
      <c r="R8" s="15">
        <f t="shared" si="178"/>
        <v>350</v>
      </c>
      <c r="S8" s="15">
        <f t="shared" si="178"/>
        <v>1367</v>
      </c>
      <c r="T8" s="15">
        <f t="shared" si="178"/>
        <v>251</v>
      </c>
      <c r="U8" s="15">
        <f t="shared" si="178"/>
        <v>485</v>
      </c>
      <c r="V8" s="15">
        <f t="shared" si="178"/>
        <v>148</v>
      </c>
      <c r="W8" s="15">
        <f t="shared" si="178"/>
        <v>314</v>
      </c>
      <c r="X8" s="15">
        <f t="shared" si="178"/>
        <v>76</v>
      </c>
      <c r="Y8" s="15">
        <f t="shared" si="178"/>
        <v>0</v>
      </c>
      <c r="Z8" s="15">
        <f t="shared" si="178"/>
        <v>0</v>
      </c>
      <c r="AA8" s="15">
        <f t="shared" si="178"/>
        <v>1615.5</v>
      </c>
      <c r="AB8" s="15">
        <f t="shared" si="178"/>
        <v>307</v>
      </c>
      <c r="AC8" s="15">
        <f t="shared" si="178"/>
        <v>1911</v>
      </c>
      <c r="AD8" s="15">
        <f t="shared" si="178"/>
        <v>352</v>
      </c>
      <c r="AE8" s="15">
        <f t="shared" si="178"/>
        <v>0</v>
      </c>
      <c r="AF8" s="15">
        <f t="shared" si="178"/>
        <v>2</v>
      </c>
      <c r="AG8" s="15">
        <f t="shared" si="178"/>
        <v>0</v>
      </c>
      <c r="AH8" s="15">
        <f t="shared" si="178"/>
        <v>0</v>
      </c>
      <c r="AI8" s="15">
        <f t="shared" si="178"/>
        <v>215</v>
      </c>
      <c r="AJ8" s="15">
        <f t="shared" si="178"/>
        <v>59</v>
      </c>
      <c r="AK8" s="15">
        <f t="shared" si="178"/>
        <v>0</v>
      </c>
      <c r="AL8" s="15">
        <f t="shared" si="178"/>
        <v>0</v>
      </c>
      <c r="AM8" s="15">
        <f t="shared" si="178"/>
        <v>548</v>
      </c>
      <c r="AN8" s="15">
        <f t="shared" si="178"/>
        <v>106</v>
      </c>
      <c r="AO8" s="15">
        <f t="shared" si="178"/>
        <v>-1</v>
      </c>
      <c r="AP8" s="15">
        <f t="shared" si="178"/>
        <v>12</v>
      </c>
      <c r="AQ8" s="15">
        <f t="shared" si="178"/>
        <v>321</v>
      </c>
      <c r="AR8" s="15">
        <f t="shared" si="178"/>
        <v>77</v>
      </c>
      <c r="AS8" s="15">
        <f t="shared" si="178"/>
        <v>8</v>
      </c>
      <c r="AT8" s="15">
        <f t="shared" si="178"/>
        <v>11</v>
      </c>
      <c r="AU8" s="15">
        <f t="shared" si="178"/>
        <v>34</v>
      </c>
      <c r="AV8" s="15">
        <f t="shared" si="178"/>
        <v>4</v>
      </c>
      <c r="AW8" s="15">
        <f t="shared" si="178"/>
        <v>14</v>
      </c>
      <c r="AX8" s="15">
        <f t="shared" si="178"/>
        <v>5</v>
      </c>
      <c r="AY8" s="15">
        <f t="shared" si="178"/>
        <v>104</v>
      </c>
      <c r="AZ8" s="15">
        <f t="shared" si="178"/>
        <v>20</v>
      </c>
      <c r="BA8" s="15">
        <f t="shared" ref="BA8:BD8" si="179">SUM(BA10:BA151)</f>
        <v>34</v>
      </c>
      <c r="BB8" s="15">
        <f t="shared" si="179"/>
        <v>2</v>
      </c>
      <c r="BC8" s="15">
        <f t="shared" si="179"/>
        <v>121</v>
      </c>
      <c r="BD8" s="15">
        <f t="shared" si="179"/>
        <v>27</v>
      </c>
      <c r="BE8" s="15">
        <f t="shared" ref="BE8:BF8" si="180">SUM(BE10:BE151)</f>
        <v>990</v>
      </c>
      <c r="BF8" s="15">
        <f t="shared" si="180"/>
        <v>208</v>
      </c>
      <c r="BG8" s="15">
        <f t="shared" ref="BG8:BL8" si="181">SUM(BG10:BG151)</f>
        <v>209</v>
      </c>
      <c r="BH8" s="15">
        <f t="shared" si="181"/>
        <v>40</v>
      </c>
      <c r="BI8" s="15">
        <f t="shared" si="181"/>
        <v>406</v>
      </c>
      <c r="BJ8" s="15">
        <f t="shared" si="181"/>
        <v>76</v>
      </c>
      <c r="BK8" s="15">
        <f t="shared" si="181"/>
        <v>121</v>
      </c>
      <c r="BL8" s="15">
        <f t="shared" si="181"/>
        <v>22</v>
      </c>
      <c r="BM8" s="15">
        <f t="shared" ref="BM8:BV8" si="182">SUM(BM10:BM151)</f>
        <v>53</v>
      </c>
      <c r="BN8" s="15">
        <f t="shared" si="182"/>
        <v>5</v>
      </c>
      <c r="BO8" s="15">
        <f t="shared" si="182"/>
        <v>33</v>
      </c>
      <c r="BP8" s="15">
        <f t="shared" si="182"/>
        <v>4</v>
      </c>
      <c r="BQ8" s="15">
        <f t="shared" si="182"/>
        <v>135</v>
      </c>
      <c r="BR8" s="15">
        <f t="shared" si="182"/>
        <v>20</v>
      </c>
      <c r="BS8" s="15">
        <f t="shared" si="182"/>
        <v>108</v>
      </c>
      <c r="BT8" s="15">
        <f t="shared" si="182"/>
        <v>20</v>
      </c>
      <c r="BU8" s="15">
        <f t="shared" si="182"/>
        <v>94</v>
      </c>
      <c r="BV8" s="15">
        <f t="shared" si="182"/>
        <v>28</v>
      </c>
      <c r="BW8" s="15">
        <f t="shared" ref="BW8:CD8" si="183">SUM(BW10:BW151)</f>
        <v>59</v>
      </c>
      <c r="BX8" s="15">
        <f t="shared" si="183"/>
        <v>8</v>
      </c>
      <c r="BY8" s="15">
        <f t="shared" si="183"/>
        <v>22</v>
      </c>
      <c r="BZ8" s="15">
        <f>SUM(BZ10:BZ151)</f>
        <v>8</v>
      </c>
      <c r="CA8" s="15">
        <f t="shared" si="183"/>
        <v>72</v>
      </c>
      <c r="CB8" s="15">
        <f t="shared" si="183"/>
        <v>8</v>
      </c>
      <c r="CC8" s="15">
        <f t="shared" si="183"/>
        <v>25</v>
      </c>
      <c r="CD8" s="15">
        <f t="shared" si="183"/>
        <v>5</v>
      </c>
    </row>
    <row r="9" spans="1:87" x14ac:dyDescent="0.3">
      <c r="C9" s="25" t="s">
        <v>70</v>
      </c>
      <c r="D9" s="25"/>
      <c r="E9" s="25" t="s">
        <v>71</v>
      </c>
      <c r="F9" s="25"/>
      <c r="G9" s="25" t="s">
        <v>72</v>
      </c>
      <c r="H9" s="25"/>
      <c r="I9" s="25" t="s">
        <v>73</v>
      </c>
      <c r="J9" s="25"/>
      <c r="K9" s="25" t="s">
        <v>74</v>
      </c>
      <c r="L9" s="25"/>
      <c r="M9" s="25" t="s">
        <v>75</v>
      </c>
      <c r="N9" s="25"/>
      <c r="O9" s="25" t="s">
        <v>76</v>
      </c>
      <c r="P9" s="25"/>
      <c r="Q9" s="25" t="s">
        <v>77</v>
      </c>
      <c r="R9" s="25"/>
      <c r="S9" s="25" t="s">
        <v>78</v>
      </c>
      <c r="T9" s="25"/>
      <c r="U9" s="25" t="s">
        <v>79</v>
      </c>
      <c r="V9" s="25"/>
      <c r="W9" s="25" t="s">
        <v>80</v>
      </c>
      <c r="X9" s="25"/>
      <c r="Y9" s="25" t="s">
        <v>81</v>
      </c>
      <c r="Z9" s="25"/>
      <c r="AA9" s="25" t="s">
        <v>82</v>
      </c>
      <c r="AB9" s="25"/>
      <c r="AC9" s="25" t="s">
        <v>6</v>
      </c>
      <c r="AD9" s="25"/>
      <c r="AE9" s="25" t="s">
        <v>83</v>
      </c>
      <c r="AF9" s="25"/>
      <c r="AG9" s="25" t="s">
        <v>84</v>
      </c>
      <c r="AH9" s="25"/>
      <c r="AI9" s="25" t="s">
        <v>85</v>
      </c>
      <c r="AJ9" s="25"/>
      <c r="AK9" s="25" t="s">
        <v>86</v>
      </c>
      <c r="AL9" s="25"/>
      <c r="AM9" s="26" t="s">
        <v>39</v>
      </c>
      <c r="AN9" s="26"/>
      <c r="AO9" s="26" t="s">
        <v>19</v>
      </c>
      <c r="AP9" s="26"/>
      <c r="AQ9" s="26" t="s">
        <v>20</v>
      </c>
      <c r="AR9" s="26"/>
      <c r="AS9" s="26" t="s">
        <v>87</v>
      </c>
      <c r="AT9" s="26"/>
      <c r="AU9" s="26" t="s">
        <v>21</v>
      </c>
      <c r="AV9" s="26"/>
      <c r="AW9" s="26" t="s">
        <v>88</v>
      </c>
      <c r="AX9" s="26"/>
      <c r="AY9" s="26" t="s">
        <v>89</v>
      </c>
      <c r="AZ9" s="26"/>
      <c r="BA9" s="25" t="s">
        <v>90</v>
      </c>
      <c r="BB9" s="25"/>
      <c r="BC9" s="25" t="s">
        <v>33</v>
      </c>
      <c r="BD9" s="25"/>
      <c r="BE9" s="25" t="s">
        <v>34</v>
      </c>
      <c r="BF9" s="25"/>
      <c r="BG9" s="26" t="s">
        <v>91</v>
      </c>
      <c r="BH9" s="26"/>
      <c r="BI9" s="25" t="s">
        <v>92</v>
      </c>
      <c r="BJ9" s="25"/>
      <c r="BK9" s="25" t="s">
        <v>93</v>
      </c>
      <c r="BL9" s="25"/>
      <c r="BM9" s="25" t="s">
        <v>94</v>
      </c>
      <c r="BN9" s="25"/>
      <c r="BO9" s="25" t="s">
        <v>95</v>
      </c>
      <c r="BP9" s="25"/>
      <c r="BQ9" s="25" t="s">
        <v>96</v>
      </c>
      <c r="BR9" s="25"/>
      <c r="BS9" s="25" t="s">
        <v>98</v>
      </c>
      <c r="BT9" s="25"/>
      <c r="BU9" s="25" t="s">
        <v>97</v>
      </c>
      <c r="BV9" s="25"/>
      <c r="BW9" s="25" t="s">
        <v>99</v>
      </c>
      <c r="BX9" s="25"/>
      <c r="BY9" s="25" t="s">
        <v>100</v>
      </c>
      <c r="BZ9" s="25"/>
      <c r="CA9" s="25" t="s">
        <v>102</v>
      </c>
      <c r="CB9" s="25"/>
      <c r="CC9" s="25" t="s">
        <v>103</v>
      </c>
      <c r="CD9" s="25"/>
    </row>
    <row r="10" spans="1:87" x14ac:dyDescent="0.3">
      <c r="B10" s="1">
        <v>197</v>
      </c>
    </row>
    <row r="11" spans="1:87" x14ac:dyDescent="0.3">
      <c r="B11" s="1">
        <v>196</v>
      </c>
    </row>
    <row r="12" spans="1:87" x14ac:dyDescent="0.3">
      <c r="B12" s="1">
        <v>195</v>
      </c>
    </row>
    <row r="13" spans="1:87" x14ac:dyDescent="0.3">
      <c r="B13" s="1">
        <v>194</v>
      </c>
    </row>
    <row r="14" spans="1:87" x14ac:dyDescent="0.3">
      <c r="B14" s="1">
        <v>193</v>
      </c>
    </row>
    <row r="15" spans="1:87" x14ac:dyDescent="0.3">
      <c r="B15" s="1">
        <v>192</v>
      </c>
      <c r="E15" s="1">
        <v>41</v>
      </c>
      <c r="F15" s="1">
        <v>4</v>
      </c>
      <c r="O15" s="1">
        <v>13</v>
      </c>
      <c r="P15" s="1">
        <v>4</v>
      </c>
      <c r="Q15" s="1">
        <v>0</v>
      </c>
      <c r="R15" s="1">
        <v>4</v>
      </c>
      <c r="W15" s="1">
        <v>27</v>
      </c>
      <c r="X15" s="1">
        <v>4</v>
      </c>
    </row>
    <row r="16" spans="1:87" x14ac:dyDescent="0.3">
      <c r="B16" s="1">
        <v>191</v>
      </c>
      <c r="E16" s="1">
        <v>21</v>
      </c>
      <c r="F16" s="1">
        <v>7</v>
      </c>
      <c r="O16" s="1">
        <v>55</v>
      </c>
      <c r="P16" s="1">
        <v>7</v>
      </c>
      <c r="W16" s="1">
        <v>72</v>
      </c>
      <c r="X16" s="1">
        <v>7</v>
      </c>
      <c r="AM16" s="1">
        <v>34</v>
      </c>
      <c r="AN16" s="1">
        <v>7</v>
      </c>
    </row>
    <row r="17" spans="1:82" x14ac:dyDescent="0.3">
      <c r="B17" s="1">
        <v>190</v>
      </c>
      <c r="G17" s="1">
        <v>-14</v>
      </c>
      <c r="H17" s="1">
        <v>2</v>
      </c>
      <c r="M17" s="1">
        <v>14</v>
      </c>
      <c r="N17" s="1">
        <v>2</v>
      </c>
      <c r="Q17" s="1">
        <v>3</v>
      </c>
      <c r="R17" s="1">
        <v>2</v>
      </c>
      <c r="AA17" s="1">
        <v>31</v>
      </c>
      <c r="AB17" s="1">
        <v>2</v>
      </c>
    </row>
    <row r="18" spans="1:82" x14ac:dyDescent="0.3">
      <c r="B18" s="1">
        <v>189</v>
      </c>
      <c r="M18" s="1">
        <v>104</v>
      </c>
      <c r="N18" s="1">
        <v>16</v>
      </c>
      <c r="AA18" s="1">
        <v>82</v>
      </c>
      <c r="AB18" s="1">
        <v>16</v>
      </c>
      <c r="AC18" s="1">
        <v>40</v>
      </c>
      <c r="AD18" s="1">
        <v>16</v>
      </c>
      <c r="BE18" s="1">
        <v>123</v>
      </c>
      <c r="BF18" s="1">
        <v>16</v>
      </c>
    </row>
    <row r="19" spans="1:82" x14ac:dyDescent="0.3">
      <c r="A19" s="1" t="s">
        <v>7</v>
      </c>
      <c r="B19" s="1">
        <v>188</v>
      </c>
      <c r="G19" s="1">
        <v>0</v>
      </c>
      <c r="H19" s="1">
        <v>1</v>
      </c>
      <c r="Q19" s="1">
        <v>12</v>
      </c>
      <c r="R19" s="1">
        <v>1</v>
      </c>
      <c r="W19" s="1">
        <v>0</v>
      </c>
      <c r="X19" s="1">
        <v>1</v>
      </c>
      <c r="CC19" s="1">
        <v>0</v>
      </c>
      <c r="CD19" s="1">
        <v>1</v>
      </c>
    </row>
    <row r="20" spans="1:82" x14ac:dyDescent="0.3">
      <c r="A20" s="1" t="s">
        <v>7</v>
      </c>
      <c r="B20" s="1">
        <v>187</v>
      </c>
      <c r="G20" s="1">
        <v>8</v>
      </c>
      <c r="H20" s="1">
        <v>3</v>
      </c>
      <c r="O20" s="1">
        <v>25</v>
      </c>
      <c r="P20" s="1">
        <v>3</v>
      </c>
      <c r="Q20" s="1">
        <v>-14</v>
      </c>
      <c r="R20" s="1">
        <v>3</v>
      </c>
      <c r="CC20" s="1">
        <v>25</v>
      </c>
      <c r="CD20" s="1">
        <v>3</v>
      </c>
    </row>
    <row r="21" spans="1:82" x14ac:dyDescent="0.3">
      <c r="A21" s="1" t="s">
        <v>7</v>
      </c>
      <c r="B21" s="1">
        <v>186</v>
      </c>
      <c r="G21" s="1">
        <v>15</v>
      </c>
      <c r="H21" s="1">
        <v>1</v>
      </c>
      <c r="O21" s="1">
        <v>0</v>
      </c>
      <c r="P21" s="1">
        <v>1</v>
      </c>
      <c r="AA21" s="1">
        <v>0</v>
      </c>
      <c r="AB21" s="1">
        <v>1</v>
      </c>
      <c r="CC21" s="1">
        <v>0</v>
      </c>
      <c r="CD21" s="1">
        <v>1</v>
      </c>
    </row>
    <row r="22" spans="1:82" x14ac:dyDescent="0.3">
      <c r="A22" s="1" t="s">
        <v>7</v>
      </c>
      <c r="B22" s="1">
        <v>185</v>
      </c>
      <c r="G22" s="1">
        <v>35</v>
      </c>
      <c r="H22" s="1">
        <v>4</v>
      </c>
      <c r="M22" s="1">
        <v>52</v>
      </c>
      <c r="N22" s="1">
        <v>4</v>
      </c>
      <c r="AA22" s="1">
        <v>0</v>
      </c>
      <c r="AB22" s="1">
        <v>4</v>
      </c>
      <c r="AC22" s="1">
        <v>20</v>
      </c>
      <c r="AD22" s="1">
        <v>4</v>
      </c>
    </row>
    <row r="23" spans="1:82" x14ac:dyDescent="0.3">
      <c r="A23" s="1" t="s">
        <v>7</v>
      </c>
      <c r="B23" s="1">
        <v>184</v>
      </c>
      <c r="G23" s="1">
        <v>11</v>
      </c>
      <c r="H23" s="1">
        <v>4</v>
      </c>
      <c r="M23" s="1">
        <v>27</v>
      </c>
      <c r="N23" s="1">
        <v>4</v>
      </c>
      <c r="Q23" s="1">
        <v>36</v>
      </c>
      <c r="R23" s="1">
        <v>4</v>
      </c>
      <c r="BE23" s="1">
        <v>2</v>
      </c>
      <c r="BF23" s="1">
        <v>4</v>
      </c>
    </row>
    <row r="24" spans="1:82" x14ac:dyDescent="0.3">
      <c r="B24" s="1">
        <v>183</v>
      </c>
      <c r="C24" s="1">
        <v>13</v>
      </c>
      <c r="D24" s="1">
        <v>1</v>
      </c>
      <c r="M24" s="1">
        <v>0</v>
      </c>
      <c r="N24" s="1">
        <v>1</v>
      </c>
      <c r="S24" s="1">
        <v>13</v>
      </c>
      <c r="T24" s="1">
        <v>1</v>
      </c>
      <c r="AC24" s="1">
        <v>0</v>
      </c>
      <c r="AD24" s="1">
        <v>1</v>
      </c>
    </row>
    <row r="25" spans="1:82" x14ac:dyDescent="0.3">
      <c r="B25" s="1">
        <v>182</v>
      </c>
      <c r="G25" s="1">
        <v>115</v>
      </c>
      <c r="H25" s="1">
        <v>13</v>
      </c>
      <c r="M25" s="1">
        <v>70</v>
      </c>
      <c r="N25" s="1">
        <v>12</v>
      </c>
      <c r="O25" s="1">
        <v>0</v>
      </c>
      <c r="P25" s="1">
        <v>1</v>
      </c>
      <c r="S25" s="1">
        <v>72</v>
      </c>
      <c r="T25" s="1">
        <v>13</v>
      </c>
      <c r="AC25" s="1">
        <v>42</v>
      </c>
      <c r="AD25" s="1">
        <v>13</v>
      </c>
    </row>
    <row r="26" spans="1:82" x14ac:dyDescent="0.3">
      <c r="A26" s="1" t="s">
        <v>7</v>
      </c>
      <c r="B26" s="1">
        <v>181</v>
      </c>
      <c r="E26" s="1">
        <v>-9</v>
      </c>
      <c r="F26" s="1">
        <v>9</v>
      </c>
      <c r="G26" s="1">
        <v>75</v>
      </c>
      <c r="H26" s="1">
        <v>9</v>
      </c>
      <c r="O26" s="1">
        <v>52</v>
      </c>
      <c r="P26" s="1">
        <v>9</v>
      </c>
      <c r="S26" s="1">
        <v>80</v>
      </c>
      <c r="T26" s="1">
        <v>9</v>
      </c>
    </row>
    <row r="27" spans="1:82" x14ac:dyDescent="0.3">
      <c r="A27" s="1" t="s">
        <v>7</v>
      </c>
      <c r="B27" s="1">
        <v>180</v>
      </c>
      <c r="C27" s="1">
        <v>37</v>
      </c>
      <c r="D27" s="1">
        <v>3</v>
      </c>
      <c r="E27" s="1">
        <v>23</v>
      </c>
      <c r="F27" s="1">
        <v>3</v>
      </c>
      <c r="O27" s="1">
        <v>-1</v>
      </c>
      <c r="P27" s="1">
        <v>3</v>
      </c>
      <c r="S27" s="1">
        <v>10</v>
      </c>
      <c r="T27" s="1">
        <v>3</v>
      </c>
    </row>
    <row r="28" spans="1:82" x14ac:dyDescent="0.3">
      <c r="A28" s="1" t="s">
        <v>7</v>
      </c>
      <c r="B28" s="1">
        <v>179</v>
      </c>
      <c r="M28" s="1">
        <v>35</v>
      </c>
      <c r="N28" s="1">
        <v>8</v>
      </c>
      <c r="Q28" s="1">
        <v>78</v>
      </c>
      <c r="R28" s="1">
        <v>8</v>
      </c>
      <c r="AC28" s="1">
        <v>24</v>
      </c>
      <c r="AD28" s="1">
        <v>8</v>
      </c>
      <c r="BE28" s="1">
        <v>16</v>
      </c>
      <c r="BF28" s="1">
        <v>8</v>
      </c>
      <c r="CA28" s="1">
        <v>72</v>
      </c>
      <c r="CB28" s="1">
        <v>8</v>
      </c>
    </row>
    <row r="29" spans="1:82" x14ac:dyDescent="0.3">
      <c r="A29" s="1" t="s">
        <v>7</v>
      </c>
      <c r="B29" s="1">
        <v>178</v>
      </c>
      <c r="C29" s="1">
        <v>19</v>
      </c>
      <c r="D29" s="1">
        <v>4</v>
      </c>
      <c r="M29" s="1">
        <v>46</v>
      </c>
      <c r="N29" s="1">
        <v>5</v>
      </c>
      <c r="W29" s="1">
        <v>28</v>
      </c>
      <c r="X29" s="1">
        <v>5</v>
      </c>
      <c r="AC29" s="1">
        <v>13</v>
      </c>
      <c r="AD29" s="1">
        <v>5</v>
      </c>
      <c r="BE29" s="1">
        <v>28</v>
      </c>
      <c r="BF29" s="1">
        <v>5</v>
      </c>
    </row>
    <row r="30" spans="1:82" x14ac:dyDescent="0.3">
      <c r="A30" s="1" t="s">
        <v>7</v>
      </c>
      <c r="B30" s="1">
        <v>177</v>
      </c>
      <c r="G30" s="1">
        <v>26</v>
      </c>
      <c r="H30" s="1">
        <v>4</v>
      </c>
      <c r="M30" s="1">
        <v>13</v>
      </c>
      <c r="N30" s="1">
        <v>4</v>
      </c>
      <c r="W30" s="1">
        <v>0</v>
      </c>
      <c r="X30" s="1">
        <v>4</v>
      </c>
      <c r="AC30" s="1">
        <v>13</v>
      </c>
      <c r="AD30" s="1">
        <v>4</v>
      </c>
    </row>
    <row r="31" spans="1:82" x14ac:dyDescent="0.3">
      <c r="A31" s="1" t="s">
        <v>7</v>
      </c>
      <c r="B31" s="1">
        <v>176</v>
      </c>
      <c r="C31" s="1">
        <v>55</v>
      </c>
      <c r="D31" s="1">
        <v>8</v>
      </c>
      <c r="G31" s="1">
        <v>84</v>
      </c>
      <c r="H31" s="1">
        <v>8</v>
      </c>
      <c r="Q31" s="1">
        <v>26</v>
      </c>
      <c r="R31" s="1">
        <v>8</v>
      </c>
      <c r="W31" s="1">
        <v>23</v>
      </c>
      <c r="X31" s="1">
        <v>8</v>
      </c>
    </row>
    <row r="32" spans="1:82" x14ac:dyDescent="0.3">
      <c r="A32" s="1" t="s">
        <v>7</v>
      </c>
      <c r="B32" s="1">
        <v>175</v>
      </c>
      <c r="E32" s="1">
        <v>41</v>
      </c>
      <c r="F32" s="1">
        <v>6</v>
      </c>
      <c r="G32" s="1">
        <v>27</v>
      </c>
      <c r="H32" s="1">
        <v>5</v>
      </c>
      <c r="M32" s="1">
        <v>-1</v>
      </c>
      <c r="N32" s="1">
        <v>4</v>
      </c>
      <c r="Q32" s="1">
        <v>12</v>
      </c>
      <c r="R32" s="1">
        <v>1</v>
      </c>
      <c r="W32" s="1">
        <v>43</v>
      </c>
      <c r="X32" s="1">
        <v>6</v>
      </c>
      <c r="AC32" s="1">
        <v>29</v>
      </c>
      <c r="AD32" s="1">
        <v>6</v>
      </c>
    </row>
    <row r="33" spans="1:78" x14ac:dyDescent="0.3">
      <c r="A33" s="1" t="s">
        <v>7</v>
      </c>
      <c r="B33" s="1">
        <v>174</v>
      </c>
      <c r="M33" s="1">
        <v>0</v>
      </c>
      <c r="N33" s="1">
        <v>3</v>
      </c>
      <c r="W33" s="1">
        <v>45</v>
      </c>
      <c r="X33" s="1">
        <v>3</v>
      </c>
      <c r="AC33" s="1">
        <v>21</v>
      </c>
      <c r="AD33" s="1">
        <v>3</v>
      </c>
      <c r="BE33" s="1">
        <v>0</v>
      </c>
      <c r="BF33" s="1">
        <v>3</v>
      </c>
    </row>
    <row r="34" spans="1:78" x14ac:dyDescent="0.3">
      <c r="B34" s="1">
        <v>173</v>
      </c>
      <c r="S34" s="1">
        <v>41</v>
      </c>
      <c r="T34" s="1">
        <v>5</v>
      </c>
      <c r="AC34" s="1">
        <v>43</v>
      </c>
      <c r="AD34" s="1">
        <v>5</v>
      </c>
      <c r="BG34" s="1">
        <v>11</v>
      </c>
      <c r="BH34" s="1">
        <v>5</v>
      </c>
      <c r="BK34" s="1">
        <v>47</v>
      </c>
      <c r="BL34" s="1">
        <v>5</v>
      </c>
    </row>
    <row r="35" spans="1:78" x14ac:dyDescent="0.3">
      <c r="B35" s="1">
        <v>172</v>
      </c>
      <c r="Q35" s="1">
        <v>70</v>
      </c>
      <c r="R35" s="1">
        <v>16</v>
      </c>
      <c r="AC35" s="1">
        <v>103</v>
      </c>
      <c r="AD35" s="1">
        <v>16</v>
      </c>
      <c r="BE35" s="1">
        <v>57</v>
      </c>
      <c r="BF35" s="1">
        <v>16</v>
      </c>
      <c r="BI35" s="1">
        <v>125</v>
      </c>
      <c r="BJ35" s="1">
        <v>16</v>
      </c>
    </row>
    <row r="36" spans="1:78" x14ac:dyDescent="0.3">
      <c r="B36" s="1">
        <v>171</v>
      </c>
      <c r="M36" s="1">
        <v>65</v>
      </c>
      <c r="N36" s="1">
        <v>8</v>
      </c>
      <c r="S36" s="1">
        <v>52</v>
      </c>
      <c r="T36" s="1">
        <v>8</v>
      </c>
      <c r="AC36" s="1">
        <v>25</v>
      </c>
      <c r="AD36" s="1">
        <v>8</v>
      </c>
      <c r="AI36" s="1">
        <v>64</v>
      </c>
      <c r="AJ36" s="1">
        <v>8</v>
      </c>
    </row>
    <row r="37" spans="1:78" x14ac:dyDescent="0.3">
      <c r="B37" s="1">
        <v>170</v>
      </c>
      <c r="M37" s="1">
        <v>42</v>
      </c>
      <c r="N37" s="1">
        <v>6</v>
      </c>
      <c r="S37" s="1">
        <v>11</v>
      </c>
      <c r="T37" s="1">
        <v>6</v>
      </c>
      <c r="AA37" s="1">
        <v>58</v>
      </c>
      <c r="AB37" s="1">
        <v>6</v>
      </c>
      <c r="BK37" s="1">
        <v>27</v>
      </c>
      <c r="BL37" s="1">
        <v>6</v>
      </c>
    </row>
    <row r="38" spans="1:78" x14ac:dyDescent="0.3">
      <c r="B38" s="1">
        <v>169</v>
      </c>
      <c r="G38" s="1">
        <v>22</v>
      </c>
      <c r="H38" s="1">
        <v>3</v>
      </c>
      <c r="M38" s="1">
        <v>23</v>
      </c>
      <c r="N38" s="1">
        <v>2</v>
      </c>
      <c r="Q38" s="1">
        <v>11</v>
      </c>
      <c r="R38" s="1">
        <v>2</v>
      </c>
      <c r="S38" s="1">
        <v>0</v>
      </c>
      <c r="T38" s="1">
        <v>2</v>
      </c>
      <c r="AC38" s="1">
        <v>0</v>
      </c>
      <c r="AD38" s="1">
        <v>3</v>
      </c>
    </row>
    <row r="39" spans="1:78" x14ac:dyDescent="0.3">
      <c r="A39" s="1" t="s">
        <v>7</v>
      </c>
      <c r="B39" s="1">
        <v>168</v>
      </c>
      <c r="G39" s="1">
        <v>59</v>
      </c>
      <c r="H39" s="1">
        <v>8</v>
      </c>
      <c r="M39" s="1">
        <v>36</v>
      </c>
      <c r="N39" s="1">
        <v>3</v>
      </c>
      <c r="O39" s="1">
        <v>43</v>
      </c>
      <c r="P39" s="1">
        <v>8</v>
      </c>
      <c r="S39" s="1">
        <v>46</v>
      </c>
      <c r="T39" s="1">
        <v>8</v>
      </c>
      <c r="AC39" s="1">
        <v>103</v>
      </c>
      <c r="AD39" s="1">
        <v>9</v>
      </c>
    </row>
    <row r="40" spans="1:78" x14ac:dyDescent="0.3">
      <c r="A40" s="1" t="s">
        <v>7</v>
      </c>
      <c r="B40" s="1">
        <v>167</v>
      </c>
      <c r="G40" s="1">
        <v>72</v>
      </c>
      <c r="H40" s="1">
        <v>5</v>
      </c>
      <c r="M40" s="1">
        <v>-23</v>
      </c>
      <c r="N40" s="1">
        <v>5</v>
      </c>
      <c r="Q40" s="1">
        <v>52</v>
      </c>
      <c r="R40" s="1">
        <v>5</v>
      </c>
      <c r="BG40" s="1">
        <v>35</v>
      </c>
      <c r="BH40" s="1">
        <v>5</v>
      </c>
    </row>
    <row r="41" spans="1:78" x14ac:dyDescent="0.3">
      <c r="B41" s="1">
        <v>166</v>
      </c>
      <c r="G41" s="1">
        <v>52</v>
      </c>
      <c r="H41" s="1">
        <v>8</v>
      </c>
      <c r="BU41" s="1">
        <v>55</v>
      </c>
      <c r="BV41" s="1">
        <v>8</v>
      </c>
      <c r="BW41" s="1">
        <v>59</v>
      </c>
      <c r="BX41" s="1">
        <v>8</v>
      </c>
      <c r="BY41" s="1">
        <v>22</v>
      </c>
      <c r="BZ41" s="1">
        <v>8</v>
      </c>
    </row>
    <row r="42" spans="1:78" x14ac:dyDescent="0.3">
      <c r="B42" s="1">
        <v>165</v>
      </c>
      <c r="G42" s="1">
        <v>177</v>
      </c>
      <c r="H42" s="1">
        <v>20</v>
      </c>
      <c r="AA42" s="1">
        <v>114</v>
      </c>
      <c r="AB42" s="1">
        <v>20</v>
      </c>
      <c r="BS42" s="1">
        <v>108</v>
      </c>
      <c r="BT42" s="1">
        <v>20</v>
      </c>
      <c r="BU42" s="1">
        <v>39</v>
      </c>
      <c r="BV42" s="1">
        <v>20</v>
      </c>
    </row>
    <row r="43" spans="1:78" x14ac:dyDescent="0.3">
      <c r="A43" s="1" t="s">
        <v>7</v>
      </c>
      <c r="B43" s="1">
        <v>164</v>
      </c>
      <c r="G43" s="1">
        <v>11</v>
      </c>
      <c r="H43" s="1">
        <v>5</v>
      </c>
      <c r="AY43" s="1">
        <v>42</v>
      </c>
      <c r="AZ43" s="1">
        <v>5</v>
      </c>
      <c r="BG43" s="1">
        <v>36</v>
      </c>
      <c r="BH43" s="1">
        <v>5</v>
      </c>
      <c r="BI43" s="1">
        <v>17</v>
      </c>
      <c r="BJ43" s="1">
        <v>5</v>
      </c>
    </row>
    <row r="44" spans="1:78" x14ac:dyDescent="0.3">
      <c r="A44" s="1" t="s">
        <v>7</v>
      </c>
      <c r="B44" s="1">
        <v>163</v>
      </c>
      <c r="G44" s="1">
        <v>17</v>
      </c>
      <c r="H44" s="1">
        <v>4</v>
      </c>
      <c r="AA44" s="1">
        <v>43</v>
      </c>
      <c r="AB44" s="1">
        <v>4</v>
      </c>
      <c r="AC44" s="1">
        <v>17</v>
      </c>
      <c r="AD44" s="1">
        <v>2</v>
      </c>
      <c r="AY44" s="1">
        <v>31</v>
      </c>
      <c r="AZ44" s="1">
        <v>4</v>
      </c>
      <c r="BG44" s="1">
        <v>34</v>
      </c>
      <c r="BH44" s="1">
        <v>4</v>
      </c>
      <c r="BI44" s="1">
        <v>0</v>
      </c>
      <c r="BJ44" s="1">
        <v>2</v>
      </c>
    </row>
    <row r="45" spans="1:78" x14ac:dyDescent="0.3">
      <c r="A45" s="1" t="s">
        <v>7</v>
      </c>
      <c r="B45" s="1">
        <v>162</v>
      </c>
      <c r="Q45" s="1">
        <v>116</v>
      </c>
      <c r="R45" s="1">
        <v>13</v>
      </c>
      <c r="AC45" s="1">
        <v>52</v>
      </c>
      <c r="AD45" s="1">
        <v>13</v>
      </c>
      <c r="BE45" s="1">
        <v>41</v>
      </c>
      <c r="BF45" s="1">
        <v>13</v>
      </c>
      <c r="BI45" s="1">
        <v>132</v>
      </c>
      <c r="BJ45" s="1">
        <v>13</v>
      </c>
    </row>
    <row r="46" spans="1:78" x14ac:dyDescent="0.3">
      <c r="A46" s="1" t="s">
        <v>7</v>
      </c>
      <c r="B46" s="1">
        <v>161</v>
      </c>
      <c r="S46" s="1">
        <v>56</v>
      </c>
      <c r="T46" s="1">
        <v>6</v>
      </c>
      <c r="AC46" s="1">
        <v>24</v>
      </c>
      <c r="AD46" s="1">
        <v>6</v>
      </c>
      <c r="AY46" s="1">
        <v>10</v>
      </c>
      <c r="AZ46" s="1">
        <v>6</v>
      </c>
      <c r="BI46" s="1">
        <v>21</v>
      </c>
      <c r="BJ46" s="1">
        <v>6</v>
      </c>
    </row>
    <row r="47" spans="1:78" x14ac:dyDescent="0.3">
      <c r="A47" s="1" t="s">
        <v>7</v>
      </c>
      <c r="B47" s="1">
        <v>160</v>
      </c>
      <c r="G47" s="1">
        <v>30</v>
      </c>
      <c r="H47" s="1">
        <v>4</v>
      </c>
      <c r="Q47" s="1">
        <v>17</v>
      </c>
      <c r="R47" s="1">
        <v>4</v>
      </c>
      <c r="U47" s="1">
        <v>32</v>
      </c>
      <c r="V47" s="1">
        <v>4</v>
      </c>
      <c r="AA47" s="1">
        <v>34</v>
      </c>
      <c r="AB47" s="1">
        <v>4</v>
      </c>
      <c r="BE47" s="1">
        <v>21</v>
      </c>
      <c r="BF47" s="1">
        <v>4</v>
      </c>
    </row>
    <row r="48" spans="1:78" x14ac:dyDescent="0.3">
      <c r="A48" s="1" t="s">
        <v>7</v>
      </c>
      <c r="B48" s="1">
        <v>159</v>
      </c>
      <c r="G48" s="1">
        <v>58</v>
      </c>
      <c r="H48" s="1">
        <v>4</v>
      </c>
      <c r="S48" s="1">
        <v>-16</v>
      </c>
      <c r="T48" s="1">
        <v>4</v>
      </c>
      <c r="AA48" s="1">
        <v>17</v>
      </c>
      <c r="AB48" s="1">
        <v>4</v>
      </c>
      <c r="BI48" s="1">
        <v>19</v>
      </c>
      <c r="BJ48" s="1">
        <v>4</v>
      </c>
    </row>
    <row r="49" spans="1:70" x14ac:dyDescent="0.3">
      <c r="B49" s="1">
        <v>158</v>
      </c>
      <c r="M49" s="1">
        <v>26</v>
      </c>
      <c r="N49" s="1">
        <v>1</v>
      </c>
      <c r="Q49" s="1">
        <v>35</v>
      </c>
      <c r="R49" s="1">
        <v>5</v>
      </c>
      <c r="S49" s="1">
        <v>41</v>
      </c>
      <c r="T49" s="1">
        <v>6</v>
      </c>
      <c r="AC49" s="1">
        <v>43</v>
      </c>
      <c r="AD49" s="1">
        <v>5</v>
      </c>
      <c r="BG49" s="1">
        <v>11</v>
      </c>
      <c r="BH49" s="1">
        <v>6</v>
      </c>
      <c r="BK49" s="1">
        <v>47</v>
      </c>
      <c r="BL49" s="1">
        <v>5</v>
      </c>
    </row>
    <row r="50" spans="1:70" x14ac:dyDescent="0.3">
      <c r="A50" s="1" t="s">
        <v>7</v>
      </c>
      <c r="B50" s="1">
        <v>157</v>
      </c>
      <c r="G50" s="1">
        <v>33</v>
      </c>
      <c r="H50" s="1">
        <v>8</v>
      </c>
      <c r="M50" s="1">
        <v>14</v>
      </c>
      <c r="N50" s="1">
        <v>8</v>
      </c>
      <c r="AM50" s="1">
        <v>68</v>
      </c>
      <c r="AN50" s="1">
        <v>8</v>
      </c>
      <c r="BE50" s="1">
        <v>50</v>
      </c>
      <c r="BF50" s="1">
        <v>8</v>
      </c>
    </row>
    <row r="51" spans="1:70" x14ac:dyDescent="0.3">
      <c r="A51" s="1" t="s">
        <v>7</v>
      </c>
      <c r="B51" s="1">
        <v>156</v>
      </c>
      <c r="G51" s="1">
        <v>23</v>
      </c>
      <c r="H51" s="1">
        <v>3</v>
      </c>
      <c r="M51" s="1">
        <v>11</v>
      </c>
      <c r="N51" s="1">
        <v>1</v>
      </c>
      <c r="AA51" s="1">
        <v>-18</v>
      </c>
      <c r="AB51" s="1">
        <v>4</v>
      </c>
      <c r="AM51" s="1">
        <v>59</v>
      </c>
      <c r="AN51" s="1">
        <v>5</v>
      </c>
      <c r="BE51" s="1">
        <v>-11</v>
      </c>
      <c r="BF51" s="1">
        <v>2</v>
      </c>
      <c r="BI51" s="1">
        <v>12</v>
      </c>
      <c r="BJ51" s="1">
        <v>5</v>
      </c>
    </row>
    <row r="52" spans="1:70" x14ac:dyDescent="0.3">
      <c r="A52" s="1" t="s">
        <v>7</v>
      </c>
      <c r="B52" s="1">
        <v>155</v>
      </c>
      <c r="G52" s="1">
        <v>92</v>
      </c>
      <c r="H52" s="1">
        <v>9</v>
      </c>
      <c r="AA52" s="1">
        <v>67</v>
      </c>
      <c r="AB52" s="1">
        <v>9</v>
      </c>
      <c r="BE52" s="1">
        <v>69</v>
      </c>
      <c r="BF52" s="1">
        <v>9</v>
      </c>
      <c r="BI52" s="1">
        <v>17</v>
      </c>
      <c r="BJ52" s="1">
        <v>9</v>
      </c>
    </row>
    <row r="53" spans="1:70" x14ac:dyDescent="0.3">
      <c r="B53" s="1">
        <v>154</v>
      </c>
      <c r="G53" s="1">
        <v>110</v>
      </c>
      <c r="H53" s="1">
        <v>20</v>
      </c>
      <c r="Q53" s="1">
        <v>88</v>
      </c>
      <c r="R53" s="1">
        <v>20</v>
      </c>
      <c r="AA53" s="1">
        <v>127</v>
      </c>
      <c r="AB53" s="1">
        <v>20</v>
      </c>
      <c r="BQ53" s="1">
        <v>135</v>
      </c>
      <c r="BR53" s="1">
        <v>20</v>
      </c>
    </row>
    <row r="54" spans="1:70" x14ac:dyDescent="0.3">
      <c r="B54" s="1">
        <v>153</v>
      </c>
      <c r="E54" s="1">
        <v>11</v>
      </c>
      <c r="F54" s="1">
        <v>1</v>
      </c>
      <c r="Q54" s="1">
        <v>-11</v>
      </c>
      <c r="R54" s="1">
        <v>1</v>
      </c>
      <c r="AA54" s="1">
        <v>11</v>
      </c>
      <c r="AB54" s="1">
        <v>1</v>
      </c>
      <c r="BM54" s="1">
        <v>-11</v>
      </c>
      <c r="BN54" s="1">
        <v>1</v>
      </c>
    </row>
    <row r="55" spans="1:70" x14ac:dyDescent="0.3">
      <c r="B55" s="1">
        <v>152</v>
      </c>
      <c r="E55" s="1">
        <v>-11</v>
      </c>
      <c r="F55" s="1">
        <v>4</v>
      </c>
      <c r="G55" s="1">
        <v>38</v>
      </c>
      <c r="H55" s="1">
        <v>4</v>
      </c>
      <c r="Q55" s="1">
        <v>-13</v>
      </c>
      <c r="R55" s="1">
        <v>4</v>
      </c>
      <c r="BM55" s="1">
        <v>64</v>
      </c>
      <c r="BN55" s="1">
        <v>4</v>
      </c>
      <c r="BO55" s="1">
        <v>33</v>
      </c>
      <c r="BP55" s="1">
        <v>4</v>
      </c>
    </row>
    <row r="56" spans="1:70" x14ac:dyDescent="0.3">
      <c r="A56" s="1" t="s">
        <v>7</v>
      </c>
      <c r="B56" s="1">
        <v>151</v>
      </c>
      <c r="G56" s="1">
        <v>65</v>
      </c>
      <c r="H56" s="1">
        <v>8</v>
      </c>
      <c r="M56" s="1">
        <v>31</v>
      </c>
      <c r="N56" s="1">
        <v>8</v>
      </c>
      <c r="Q56" s="1">
        <v>62</v>
      </c>
      <c r="R56" s="1">
        <v>8</v>
      </c>
      <c r="U56" s="1">
        <v>46</v>
      </c>
      <c r="V56" s="1">
        <v>8</v>
      </c>
      <c r="AA56" s="1">
        <v>35</v>
      </c>
      <c r="AB56" s="1">
        <v>8</v>
      </c>
    </row>
    <row r="57" spans="1:70" x14ac:dyDescent="0.3">
      <c r="A57" s="1" t="s">
        <v>7</v>
      </c>
      <c r="B57" s="1">
        <v>150</v>
      </c>
      <c r="Q57" s="1">
        <v>105</v>
      </c>
      <c r="R57" s="1">
        <v>12</v>
      </c>
      <c r="S57" s="1">
        <v>150</v>
      </c>
      <c r="T57" s="1">
        <v>12</v>
      </c>
      <c r="AC57" s="1">
        <v>45</v>
      </c>
      <c r="AD57" s="1">
        <v>12</v>
      </c>
      <c r="BE57" s="1">
        <v>41</v>
      </c>
      <c r="BF57" s="1">
        <v>12</v>
      </c>
    </row>
    <row r="58" spans="1:70" x14ac:dyDescent="0.3">
      <c r="A58" s="1" t="s">
        <v>7</v>
      </c>
      <c r="B58" s="1">
        <v>149</v>
      </c>
      <c r="G58" s="1">
        <v>26</v>
      </c>
      <c r="H58" s="1">
        <v>10</v>
      </c>
      <c r="M58" s="1">
        <v>74</v>
      </c>
      <c r="N58" s="1">
        <v>11</v>
      </c>
      <c r="S58" s="1">
        <v>39</v>
      </c>
      <c r="T58" s="1">
        <v>10</v>
      </c>
      <c r="AA58" s="1">
        <v>42</v>
      </c>
      <c r="AB58" s="1">
        <v>11</v>
      </c>
      <c r="AC58" s="1">
        <v>55</v>
      </c>
      <c r="AD58" s="1">
        <v>10</v>
      </c>
    </row>
    <row r="59" spans="1:70" x14ac:dyDescent="0.3">
      <c r="A59" s="1" t="s">
        <v>7</v>
      </c>
      <c r="B59" s="1">
        <v>148</v>
      </c>
      <c r="G59" s="1">
        <v>52</v>
      </c>
      <c r="H59" s="1">
        <v>6</v>
      </c>
      <c r="M59" s="1">
        <v>0</v>
      </c>
      <c r="N59" s="1">
        <v>2</v>
      </c>
      <c r="S59" s="1">
        <v>28</v>
      </c>
      <c r="T59" s="1">
        <v>3</v>
      </c>
      <c r="AC59" s="1">
        <v>64</v>
      </c>
      <c r="AD59" s="1">
        <v>6</v>
      </c>
      <c r="BG59" s="1">
        <v>0</v>
      </c>
      <c r="BH59" s="1">
        <v>1</v>
      </c>
      <c r="BK59" s="1">
        <v>0</v>
      </c>
      <c r="BL59" s="1">
        <v>6</v>
      </c>
    </row>
    <row r="60" spans="1:70" x14ac:dyDescent="0.3">
      <c r="A60" s="1" t="s">
        <v>7</v>
      </c>
      <c r="B60" s="1">
        <v>147</v>
      </c>
      <c r="G60" s="1">
        <v>28</v>
      </c>
      <c r="H60" s="1">
        <v>6</v>
      </c>
      <c r="M60" s="1">
        <v>105</v>
      </c>
      <c r="N60" s="1">
        <v>6</v>
      </c>
      <c r="AA60" s="1">
        <v>13</v>
      </c>
      <c r="AB60" s="1">
        <v>6</v>
      </c>
      <c r="BG60" s="1">
        <v>13</v>
      </c>
      <c r="BH60" s="1">
        <v>6</v>
      </c>
    </row>
    <row r="61" spans="1:70" x14ac:dyDescent="0.3">
      <c r="A61" s="1" t="s">
        <v>7</v>
      </c>
      <c r="B61" s="1">
        <v>146</v>
      </c>
      <c r="G61" s="1">
        <v>83</v>
      </c>
      <c r="H61" s="1">
        <v>8</v>
      </c>
      <c r="M61" s="1">
        <v>10</v>
      </c>
      <c r="N61" s="1">
        <v>8</v>
      </c>
      <c r="AC61" s="1">
        <v>68</v>
      </c>
      <c r="AD61" s="1">
        <v>8</v>
      </c>
      <c r="BE61" s="1">
        <v>29</v>
      </c>
      <c r="BF61" s="1">
        <v>8</v>
      </c>
    </row>
    <row r="62" spans="1:70" x14ac:dyDescent="0.3">
      <c r="A62" s="1" t="s">
        <v>7</v>
      </c>
      <c r="B62" s="1">
        <v>145</v>
      </c>
      <c r="Q62" s="1">
        <v>98</v>
      </c>
      <c r="R62" s="1">
        <v>8</v>
      </c>
      <c r="S62" s="1">
        <v>22</v>
      </c>
      <c r="T62" s="1">
        <v>8</v>
      </c>
      <c r="AA62" s="1">
        <v>57</v>
      </c>
      <c r="AB62" s="1">
        <v>8</v>
      </c>
      <c r="AC62" s="1">
        <v>35</v>
      </c>
      <c r="AD62" s="1">
        <v>8</v>
      </c>
    </row>
    <row r="63" spans="1:70" x14ac:dyDescent="0.3">
      <c r="A63" s="1" t="s">
        <v>7</v>
      </c>
      <c r="B63" s="1">
        <v>144</v>
      </c>
      <c r="G63" s="1">
        <v>38</v>
      </c>
      <c r="H63" s="1">
        <v>8</v>
      </c>
      <c r="M63" s="1">
        <v>55</v>
      </c>
      <c r="N63" s="1">
        <v>8</v>
      </c>
      <c r="BE63" s="1">
        <v>35</v>
      </c>
      <c r="BF63" s="1">
        <v>8</v>
      </c>
      <c r="BI63" s="1">
        <v>9</v>
      </c>
      <c r="BJ63" s="1">
        <v>8</v>
      </c>
    </row>
    <row r="64" spans="1:70" x14ac:dyDescent="0.3">
      <c r="A64" s="1" t="s">
        <v>7</v>
      </c>
      <c r="B64" s="1">
        <v>143</v>
      </c>
      <c r="G64" s="1">
        <v>82</v>
      </c>
      <c r="H64" s="1">
        <v>6</v>
      </c>
      <c r="M64" s="1">
        <v>60</v>
      </c>
      <c r="N64" s="1">
        <v>7</v>
      </c>
      <c r="S64" s="1">
        <v>4</v>
      </c>
      <c r="T64" s="1">
        <v>6</v>
      </c>
      <c r="AA64" s="1">
        <v>64</v>
      </c>
      <c r="AB64" s="1">
        <v>6</v>
      </c>
      <c r="AC64" s="1">
        <v>13</v>
      </c>
      <c r="AD64" s="1">
        <v>7</v>
      </c>
    </row>
    <row r="65" spans="1:62" x14ac:dyDescent="0.3">
      <c r="A65" s="1" t="s">
        <v>7</v>
      </c>
      <c r="B65" s="1">
        <v>142</v>
      </c>
      <c r="G65" s="1">
        <v>51</v>
      </c>
      <c r="H65" s="1">
        <v>8</v>
      </c>
      <c r="W65" s="1">
        <v>43</v>
      </c>
      <c r="X65" s="1">
        <v>8</v>
      </c>
      <c r="AC65" s="1">
        <v>32</v>
      </c>
      <c r="AD65" s="1">
        <v>8</v>
      </c>
      <c r="BI65" s="1">
        <v>54</v>
      </c>
      <c r="BJ65" s="1">
        <v>8</v>
      </c>
    </row>
    <row r="66" spans="1:62" x14ac:dyDescent="0.3">
      <c r="A66" s="1" t="s">
        <v>7</v>
      </c>
      <c r="B66" s="1">
        <v>141</v>
      </c>
      <c r="M66" s="1">
        <v>11</v>
      </c>
      <c r="N66" s="1">
        <v>2</v>
      </c>
      <c r="Q66" s="1">
        <v>0</v>
      </c>
      <c r="R66" s="1">
        <v>2</v>
      </c>
      <c r="S66" s="1">
        <v>11</v>
      </c>
      <c r="T66" s="1">
        <v>2</v>
      </c>
      <c r="AC66" s="1">
        <v>18</v>
      </c>
      <c r="AD66" s="1">
        <v>2</v>
      </c>
    </row>
    <row r="67" spans="1:62" x14ac:dyDescent="0.3">
      <c r="A67" s="1" t="s">
        <v>7</v>
      </c>
      <c r="B67" s="1">
        <v>140</v>
      </c>
      <c r="M67" s="1">
        <v>24</v>
      </c>
      <c r="N67" s="1">
        <v>8</v>
      </c>
      <c r="Q67" s="1">
        <v>28</v>
      </c>
      <c r="R67" s="1">
        <v>8</v>
      </c>
      <c r="S67" s="1">
        <v>53</v>
      </c>
      <c r="T67" s="1">
        <v>8</v>
      </c>
      <c r="AC67" s="1">
        <v>76</v>
      </c>
      <c r="AD67" s="1">
        <v>8</v>
      </c>
    </row>
    <row r="68" spans="1:62" x14ac:dyDescent="0.3">
      <c r="A68" s="1" t="s">
        <v>7</v>
      </c>
      <c r="B68" s="1">
        <v>139</v>
      </c>
      <c r="M68" s="1">
        <v>38</v>
      </c>
      <c r="N68" s="1">
        <v>10</v>
      </c>
      <c r="O68" s="1">
        <v>63</v>
      </c>
      <c r="P68" s="1">
        <v>10</v>
      </c>
      <c r="Q68" s="1">
        <v>120</v>
      </c>
      <c r="R68" s="1">
        <v>10</v>
      </c>
      <c r="AA68" s="1">
        <v>39</v>
      </c>
      <c r="AB68" s="1">
        <v>10</v>
      </c>
    </row>
    <row r="69" spans="1:62" x14ac:dyDescent="0.3">
      <c r="A69" s="1" t="s">
        <v>7</v>
      </c>
      <c r="B69" s="1">
        <v>138</v>
      </c>
      <c r="G69" s="1">
        <v>-8</v>
      </c>
      <c r="H69" s="1">
        <v>1</v>
      </c>
      <c r="M69" s="1">
        <v>8</v>
      </c>
      <c r="N69" s="1">
        <v>1</v>
      </c>
      <c r="Q69" s="1">
        <v>-8</v>
      </c>
      <c r="R69" s="1">
        <v>1</v>
      </c>
      <c r="S69" s="1">
        <v>8</v>
      </c>
      <c r="T69" s="1">
        <v>1</v>
      </c>
    </row>
    <row r="70" spans="1:62" x14ac:dyDescent="0.3">
      <c r="A70" s="1" t="s">
        <v>7</v>
      </c>
      <c r="B70" s="1">
        <v>137</v>
      </c>
      <c r="G70" s="1">
        <v>25</v>
      </c>
      <c r="H70" s="1">
        <v>3</v>
      </c>
      <c r="M70" s="1">
        <v>0</v>
      </c>
      <c r="N70" s="1">
        <v>3</v>
      </c>
      <c r="S70" s="1">
        <v>22</v>
      </c>
      <c r="T70" s="1">
        <v>3</v>
      </c>
      <c r="AC70" s="1">
        <v>19</v>
      </c>
      <c r="AD70" s="1">
        <v>3</v>
      </c>
    </row>
    <row r="71" spans="1:62" x14ac:dyDescent="0.3">
      <c r="A71" s="1" t="s">
        <v>7</v>
      </c>
      <c r="B71" s="1">
        <v>136</v>
      </c>
      <c r="M71" s="1">
        <v>-31</v>
      </c>
      <c r="N71" s="1">
        <v>8</v>
      </c>
      <c r="Q71" s="1">
        <v>89</v>
      </c>
      <c r="R71" s="1">
        <v>8</v>
      </c>
      <c r="S71" s="1">
        <v>15</v>
      </c>
      <c r="T71" s="1">
        <v>8</v>
      </c>
      <c r="AC71" s="1">
        <v>104</v>
      </c>
      <c r="AD71" s="1">
        <v>8</v>
      </c>
      <c r="BE71" s="1">
        <v>56</v>
      </c>
      <c r="BF71" s="1">
        <v>8</v>
      </c>
    </row>
    <row r="72" spans="1:62" x14ac:dyDescent="0.3">
      <c r="A72" s="1" t="s">
        <v>7</v>
      </c>
      <c r="B72" s="1">
        <v>135</v>
      </c>
      <c r="G72" s="1">
        <v>42</v>
      </c>
      <c r="H72" s="1">
        <v>8</v>
      </c>
      <c r="M72" s="1">
        <v>76</v>
      </c>
      <c r="N72" s="1">
        <v>8</v>
      </c>
      <c r="S72" s="1">
        <v>50</v>
      </c>
      <c r="T72" s="1">
        <v>8</v>
      </c>
      <c r="BE72" s="1">
        <v>11</v>
      </c>
      <c r="BF72" s="1">
        <v>8</v>
      </c>
    </row>
    <row r="73" spans="1:62" x14ac:dyDescent="0.3">
      <c r="A73" s="1" t="s">
        <v>7</v>
      </c>
      <c r="B73" s="1">
        <v>134</v>
      </c>
      <c r="G73" s="1">
        <v>51</v>
      </c>
      <c r="H73" s="1">
        <v>8</v>
      </c>
      <c r="M73" s="1">
        <v>66</v>
      </c>
      <c r="N73" s="1">
        <v>8</v>
      </c>
      <c r="S73" s="1">
        <v>25</v>
      </c>
      <c r="T73" s="1">
        <v>8</v>
      </c>
      <c r="BG73" s="1">
        <v>69</v>
      </c>
      <c r="BH73" s="1">
        <v>8</v>
      </c>
    </row>
    <row r="74" spans="1:62" x14ac:dyDescent="0.3">
      <c r="B74" s="1">
        <v>133</v>
      </c>
      <c r="C74" s="1">
        <v>76</v>
      </c>
      <c r="D74" s="1">
        <v>5</v>
      </c>
      <c r="G74" s="1">
        <v>49</v>
      </c>
      <c r="H74" s="1">
        <v>5</v>
      </c>
      <c r="K74" s="1">
        <v>-3</v>
      </c>
      <c r="L74" s="1">
        <v>5</v>
      </c>
      <c r="Q74" s="1">
        <v>24</v>
      </c>
      <c r="R74" s="1">
        <v>5</v>
      </c>
    </row>
    <row r="75" spans="1:62" x14ac:dyDescent="0.3">
      <c r="A75" s="1" t="s">
        <v>7</v>
      </c>
      <c r="B75" s="1">
        <v>132</v>
      </c>
      <c r="G75" s="1">
        <v>48</v>
      </c>
      <c r="H75" s="1">
        <v>16</v>
      </c>
      <c r="M75" s="1">
        <v>86</v>
      </c>
      <c r="N75" s="1">
        <v>16</v>
      </c>
      <c r="S75" s="1">
        <v>108</v>
      </c>
      <c r="T75" s="1">
        <v>16</v>
      </c>
      <c r="AA75" s="1">
        <v>92</v>
      </c>
      <c r="AB75" s="1">
        <v>16</v>
      </c>
      <c r="AC75" s="1">
        <v>127</v>
      </c>
      <c r="AD75" s="1">
        <v>16</v>
      </c>
    </row>
    <row r="76" spans="1:62" x14ac:dyDescent="0.3">
      <c r="A76" s="1" t="s">
        <v>7</v>
      </c>
      <c r="B76" s="1">
        <v>131</v>
      </c>
      <c r="M76" s="1">
        <v>48</v>
      </c>
      <c r="N76" s="1">
        <v>10</v>
      </c>
      <c r="AM76" s="1">
        <v>54</v>
      </c>
      <c r="AN76" s="1">
        <v>10</v>
      </c>
      <c r="AQ76" s="1">
        <v>23</v>
      </c>
      <c r="AR76" s="1">
        <v>10</v>
      </c>
      <c r="BC76" s="1">
        <v>57</v>
      </c>
      <c r="BD76" s="1">
        <v>10</v>
      </c>
    </row>
    <row r="77" spans="1:62" x14ac:dyDescent="0.3">
      <c r="A77" s="1" t="s">
        <v>7</v>
      </c>
      <c r="B77" s="1">
        <v>130</v>
      </c>
      <c r="M77" s="1">
        <v>112</v>
      </c>
      <c r="N77" s="1">
        <v>16</v>
      </c>
      <c r="Q77" s="1">
        <v>67</v>
      </c>
      <c r="R77" s="1">
        <v>16</v>
      </c>
      <c r="AM77" s="1">
        <v>157</v>
      </c>
      <c r="AN77" s="1">
        <v>16</v>
      </c>
      <c r="AQ77" s="1">
        <v>22</v>
      </c>
      <c r="AR77" s="1">
        <v>16</v>
      </c>
    </row>
    <row r="78" spans="1:62" x14ac:dyDescent="0.3">
      <c r="A78" s="1" t="s">
        <v>7</v>
      </c>
      <c r="B78" s="1">
        <v>129</v>
      </c>
      <c r="G78" s="1">
        <v>31</v>
      </c>
      <c r="H78" s="1">
        <v>2</v>
      </c>
      <c r="M78" s="1">
        <v>20</v>
      </c>
      <c r="N78" s="1">
        <v>2</v>
      </c>
      <c r="Q78" s="1">
        <v>11</v>
      </c>
      <c r="R78" s="1">
        <v>1</v>
      </c>
      <c r="AA78" s="1">
        <v>0</v>
      </c>
      <c r="AB78" s="1">
        <v>1</v>
      </c>
      <c r="AM78" s="1">
        <v>0</v>
      </c>
      <c r="AN78" s="1">
        <v>2</v>
      </c>
    </row>
    <row r="79" spans="1:62" x14ac:dyDescent="0.3">
      <c r="A79" s="1" t="s">
        <v>7</v>
      </c>
      <c r="B79" s="1">
        <v>128</v>
      </c>
      <c r="M79" s="1">
        <v>76</v>
      </c>
      <c r="N79" s="1">
        <v>8</v>
      </c>
      <c r="Q79" s="1">
        <v>50</v>
      </c>
      <c r="R79" s="1">
        <v>8</v>
      </c>
      <c r="AC79" s="1">
        <v>26</v>
      </c>
      <c r="AD79" s="1">
        <v>8</v>
      </c>
      <c r="AM79" s="1">
        <v>32</v>
      </c>
      <c r="AN79" s="1">
        <v>8</v>
      </c>
      <c r="BE79" s="1">
        <v>45</v>
      </c>
      <c r="BF79" s="1">
        <v>8</v>
      </c>
    </row>
    <row r="80" spans="1:62" x14ac:dyDescent="0.3">
      <c r="A80" s="1" t="s">
        <v>7</v>
      </c>
      <c r="B80" s="1">
        <v>127</v>
      </c>
      <c r="M80" s="1">
        <v>12</v>
      </c>
      <c r="N80" s="1">
        <v>4</v>
      </c>
      <c r="Q80" s="1">
        <v>60</v>
      </c>
      <c r="R80" s="1">
        <v>4</v>
      </c>
      <c r="AC80" s="1">
        <v>25</v>
      </c>
      <c r="AD80" s="1">
        <v>4</v>
      </c>
      <c r="BE80" s="1">
        <v>-4</v>
      </c>
      <c r="BF80" s="1">
        <v>4</v>
      </c>
    </row>
    <row r="81" spans="1:58" x14ac:dyDescent="0.3">
      <c r="A81" s="1" t="s">
        <v>7</v>
      </c>
      <c r="B81" s="1">
        <v>126</v>
      </c>
      <c r="G81" s="1">
        <v>54</v>
      </c>
      <c r="H81" s="1">
        <v>10</v>
      </c>
      <c r="M81" s="1">
        <v>88</v>
      </c>
      <c r="N81" s="1">
        <v>10</v>
      </c>
      <c r="Q81" s="1">
        <v>43</v>
      </c>
      <c r="R81" s="1">
        <v>10</v>
      </c>
      <c r="U81" s="1">
        <v>32</v>
      </c>
      <c r="V81" s="1">
        <v>10</v>
      </c>
    </row>
    <row r="82" spans="1:58" x14ac:dyDescent="0.3">
      <c r="A82" s="1" t="s">
        <v>7</v>
      </c>
      <c r="B82" s="1">
        <v>125</v>
      </c>
      <c r="M82" s="1">
        <v>13</v>
      </c>
      <c r="N82" s="1">
        <v>4</v>
      </c>
      <c r="O82" s="1">
        <v>13</v>
      </c>
      <c r="P82" s="1">
        <v>4</v>
      </c>
      <c r="AM82" s="1">
        <v>26</v>
      </c>
      <c r="AN82" s="1">
        <v>4</v>
      </c>
      <c r="AQ82" s="1">
        <v>44</v>
      </c>
      <c r="AR82" s="1">
        <v>4</v>
      </c>
    </row>
    <row r="83" spans="1:58" x14ac:dyDescent="0.3">
      <c r="A83" s="1" t="s">
        <v>7</v>
      </c>
      <c r="B83" s="1">
        <v>124</v>
      </c>
      <c r="G83" s="1">
        <v>112</v>
      </c>
      <c r="H83" s="1">
        <v>10</v>
      </c>
      <c r="M83" s="1">
        <v>23</v>
      </c>
      <c r="N83" s="1">
        <v>10</v>
      </c>
      <c r="Q83" s="1">
        <v>103</v>
      </c>
      <c r="R83" s="1">
        <v>10</v>
      </c>
      <c r="AC83" s="1">
        <v>57</v>
      </c>
      <c r="AD83" s="1">
        <v>11</v>
      </c>
      <c r="BE83" s="1">
        <v>36</v>
      </c>
      <c r="BF83" s="1">
        <v>7</v>
      </c>
    </row>
    <row r="84" spans="1:58" x14ac:dyDescent="0.3">
      <c r="A84" s="1" t="s">
        <v>7</v>
      </c>
      <c r="B84" s="1">
        <v>123</v>
      </c>
      <c r="G84" s="1">
        <v>119</v>
      </c>
      <c r="H84" s="1">
        <v>12</v>
      </c>
      <c r="M84" s="1">
        <v>68</v>
      </c>
      <c r="N84" s="1">
        <v>12</v>
      </c>
      <c r="U84" s="1">
        <v>33</v>
      </c>
      <c r="V84" s="1">
        <v>12</v>
      </c>
      <c r="AA84" s="1">
        <v>74</v>
      </c>
      <c r="AB84" s="1">
        <v>12</v>
      </c>
    </row>
    <row r="85" spans="1:58" x14ac:dyDescent="0.3">
      <c r="A85" s="1" t="s">
        <v>7</v>
      </c>
      <c r="B85" s="1">
        <v>122</v>
      </c>
      <c r="C85" s="1">
        <v>28</v>
      </c>
      <c r="D85" s="1">
        <v>8</v>
      </c>
      <c r="G85" s="1">
        <v>46</v>
      </c>
      <c r="H85" s="1">
        <v>8</v>
      </c>
      <c r="M85" s="1">
        <v>41</v>
      </c>
      <c r="N85" s="1">
        <v>8</v>
      </c>
      <c r="Q85" s="1">
        <v>36</v>
      </c>
      <c r="R85" s="1">
        <v>8</v>
      </c>
    </row>
    <row r="86" spans="1:58" x14ac:dyDescent="0.3">
      <c r="A86" s="1" t="s">
        <v>7</v>
      </c>
      <c r="B86" s="1">
        <v>121</v>
      </c>
      <c r="Q86" s="1">
        <v>59</v>
      </c>
      <c r="R86" s="1">
        <v>5</v>
      </c>
      <c r="AA86" s="1">
        <v>53</v>
      </c>
      <c r="AB86" s="1">
        <v>5</v>
      </c>
      <c r="AC86" s="1">
        <v>24</v>
      </c>
      <c r="AD86" s="1">
        <v>4</v>
      </c>
      <c r="AQ86" s="1">
        <v>51</v>
      </c>
      <c r="AR86" s="1">
        <v>5</v>
      </c>
      <c r="BE86" s="1">
        <v>13</v>
      </c>
      <c r="BF86" s="1">
        <v>5</v>
      </c>
    </row>
    <row r="87" spans="1:58" x14ac:dyDescent="0.3">
      <c r="A87" s="1" t="s">
        <v>7</v>
      </c>
      <c r="B87" s="1">
        <v>120</v>
      </c>
      <c r="C87" s="1">
        <v>98</v>
      </c>
      <c r="D87" s="1">
        <v>16</v>
      </c>
      <c r="G87" s="1">
        <v>120</v>
      </c>
      <c r="H87" s="1">
        <v>16</v>
      </c>
      <c r="M87" s="1">
        <v>156</v>
      </c>
      <c r="N87" s="1">
        <v>16</v>
      </c>
      <c r="O87" s="1">
        <v>98</v>
      </c>
      <c r="P87" s="1">
        <v>16</v>
      </c>
      <c r="AM87" s="1">
        <v>27</v>
      </c>
      <c r="AN87" s="1">
        <v>16</v>
      </c>
    </row>
    <row r="88" spans="1:58" x14ac:dyDescent="0.3">
      <c r="A88" s="1" t="s">
        <v>7</v>
      </c>
      <c r="B88" s="1">
        <v>119</v>
      </c>
      <c r="G88" s="1">
        <v>114</v>
      </c>
      <c r="H88" s="1">
        <v>12</v>
      </c>
      <c r="M88" s="1">
        <v>98</v>
      </c>
      <c r="N88" s="1">
        <v>12</v>
      </c>
      <c r="AA88" s="1">
        <v>46</v>
      </c>
      <c r="AB88" s="1">
        <v>12</v>
      </c>
      <c r="AQ88" s="1">
        <v>64</v>
      </c>
      <c r="AR88" s="1">
        <v>12</v>
      </c>
    </row>
    <row r="89" spans="1:58" x14ac:dyDescent="0.3">
      <c r="A89" s="1" t="s">
        <v>7</v>
      </c>
      <c r="B89" s="1">
        <v>118</v>
      </c>
      <c r="G89" s="1">
        <v>39</v>
      </c>
      <c r="H89" s="1">
        <v>8</v>
      </c>
      <c r="M89" s="1">
        <v>54</v>
      </c>
      <c r="N89" s="1">
        <v>8</v>
      </c>
      <c r="AC89" s="1">
        <v>34</v>
      </c>
      <c r="AD89" s="1">
        <v>8</v>
      </c>
      <c r="AQ89" s="1">
        <v>62</v>
      </c>
      <c r="AR89" s="1">
        <v>8</v>
      </c>
    </row>
    <row r="90" spans="1:58" x14ac:dyDescent="0.3">
      <c r="A90" s="1" t="s">
        <v>7</v>
      </c>
      <c r="B90" s="1">
        <v>117</v>
      </c>
      <c r="C90" s="1">
        <v>22</v>
      </c>
      <c r="D90" s="1">
        <v>3</v>
      </c>
      <c r="Q90" s="1">
        <v>0</v>
      </c>
      <c r="R90" s="1">
        <v>3</v>
      </c>
      <c r="S90" s="1">
        <v>0</v>
      </c>
      <c r="T90" s="1">
        <v>3</v>
      </c>
      <c r="AC90" s="1">
        <v>49</v>
      </c>
      <c r="AD90" s="1">
        <v>4</v>
      </c>
      <c r="AI90" s="1">
        <v>28</v>
      </c>
      <c r="AJ90" s="1">
        <v>3</v>
      </c>
    </row>
    <row r="91" spans="1:58" x14ac:dyDescent="0.3">
      <c r="A91" s="1" t="s">
        <v>7</v>
      </c>
      <c r="B91" s="1">
        <v>116</v>
      </c>
      <c r="C91" s="1">
        <v>130</v>
      </c>
      <c r="D91" s="1">
        <v>12</v>
      </c>
      <c r="M91" s="1">
        <v>45</v>
      </c>
      <c r="N91" s="1">
        <v>12</v>
      </c>
      <c r="AC91" s="1">
        <v>69</v>
      </c>
      <c r="AD91" s="1">
        <v>12</v>
      </c>
      <c r="AI91" s="1">
        <v>31</v>
      </c>
      <c r="AJ91" s="1">
        <v>12</v>
      </c>
    </row>
    <row r="92" spans="1:58" x14ac:dyDescent="0.3">
      <c r="A92" s="1" t="s">
        <v>7</v>
      </c>
      <c r="B92" s="1">
        <v>115</v>
      </c>
      <c r="G92" s="1">
        <v>20</v>
      </c>
      <c r="H92" s="1">
        <v>4</v>
      </c>
      <c r="M92" s="1">
        <v>49</v>
      </c>
      <c r="N92" s="1">
        <v>4</v>
      </c>
      <c r="Q92" s="1">
        <v>24</v>
      </c>
      <c r="R92" s="1">
        <v>4</v>
      </c>
      <c r="AC92" s="1">
        <v>13</v>
      </c>
      <c r="AD92" s="1">
        <v>4</v>
      </c>
      <c r="BE92" s="1">
        <v>25</v>
      </c>
      <c r="BF92" s="1">
        <v>4</v>
      </c>
    </row>
    <row r="93" spans="1:58" x14ac:dyDescent="0.3">
      <c r="A93" s="1" t="s">
        <v>7</v>
      </c>
      <c r="B93" s="1">
        <v>114</v>
      </c>
      <c r="M93" s="1">
        <v>47</v>
      </c>
      <c r="N93" s="1">
        <v>3</v>
      </c>
      <c r="AC93" s="1">
        <v>0</v>
      </c>
      <c r="AD93" s="1">
        <v>3</v>
      </c>
      <c r="AM93" s="1">
        <v>0</v>
      </c>
      <c r="AN93" s="1">
        <v>3</v>
      </c>
      <c r="BE93" s="1">
        <v>13</v>
      </c>
      <c r="BF93" s="1">
        <v>3</v>
      </c>
    </row>
    <row r="94" spans="1:58" x14ac:dyDescent="0.3">
      <c r="A94" s="1" t="s">
        <v>7</v>
      </c>
      <c r="B94" s="1">
        <v>113</v>
      </c>
      <c r="C94" s="1">
        <v>31</v>
      </c>
      <c r="D94" s="1">
        <v>12</v>
      </c>
      <c r="G94" s="1">
        <v>131</v>
      </c>
      <c r="H94" s="1">
        <v>12</v>
      </c>
      <c r="M94" s="1">
        <v>102</v>
      </c>
      <c r="N94" s="1">
        <v>12</v>
      </c>
      <c r="U94" s="1">
        <v>10</v>
      </c>
      <c r="V94" s="1">
        <v>12</v>
      </c>
    </row>
    <row r="95" spans="1:58" x14ac:dyDescent="0.3">
      <c r="A95" s="1" t="s">
        <v>7</v>
      </c>
      <c r="B95" s="1">
        <v>112</v>
      </c>
      <c r="M95" s="1">
        <v>8</v>
      </c>
      <c r="N95" s="1">
        <v>5</v>
      </c>
      <c r="S95" s="1">
        <v>28</v>
      </c>
      <c r="T95" s="1">
        <v>5</v>
      </c>
      <c r="AC95" s="1">
        <v>35</v>
      </c>
      <c r="AD95" s="1">
        <v>5</v>
      </c>
      <c r="AY95" s="1">
        <v>21</v>
      </c>
      <c r="AZ95" s="1">
        <v>5</v>
      </c>
    </row>
    <row r="96" spans="1:58" x14ac:dyDescent="0.3">
      <c r="A96" s="1" t="s">
        <v>7</v>
      </c>
      <c r="B96" s="1">
        <v>111</v>
      </c>
      <c r="M96" s="1">
        <v>97</v>
      </c>
      <c r="N96" s="1">
        <v>8</v>
      </c>
      <c r="Q96" s="1">
        <v>45</v>
      </c>
      <c r="R96" s="1">
        <v>8</v>
      </c>
      <c r="AA96" s="1">
        <v>1</v>
      </c>
      <c r="AB96" s="1">
        <v>8</v>
      </c>
      <c r="AC96" s="1">
        <v>31</v>
      </c>
      <c r="AD96" s="1">
        <v>8</v>
      </c>
      <c r="BE96" s="1">
        <v>65</v>
      </c>
      <c r="BF96" s="1">
        <v>8</v>
      </c>
    </row>
    <row r="97" spans="1:58" x14ac:dyDescent="0.3">
      <c r="A97" s="1" t="s">
        <v>7</v>
      </c>
      <c r="B97" s="1">
        <v>110</v>
      </c>
      <c r="M97" s="1">
        <v>36</v>
      </c>
      <c r="N97" s="1">
        <v>7</v>
      </c>
      <c r="Q97" s="1">
        <v>79</v>
      </c>
      <c r="R97" s="1">
        <v>7</v>
      </c>
      <c r="S97" s="1">
        <v>-1</v>
      </c>
      <c r="T97" s="1">
        <v>7</v>
      </c>
      <c r="AC97" s="1">
        <v>47</v>
      </c>
      <c r="AD97" s="1">
        <v>7</v>
      </c>
    </row>
    <row r="98" spans="1:58" x14ac:dyDescent="0.3">
      <c r="A98" s="1" t="s">
        <v>7</v>
      </c>
      <c r="B98" s="1">
        <v>109</v>
      </c>
      <c r="G98" s="1">
        <v>40</v>
      </c>
      <c r="H98" s="1">
        <v>3</v>
      </c>
      <c r="Q98" s="1">
        <v>14</v>
      </c>
      <c r="R98" s="1">
        <v>3</v>
      </c>
      <c r="AC98" s="1">
        <v>15</v>
      </c>
      <c r="AD98" s="1">
        <v>3</v>
      </c>
      <c r="AM98" s="1">
        <v>9</v>
      </c>
      <c r="AN98" s="1">
        <v>1</v>
      </c>
      <c r="BE98" s="1">
        <v>17</v>
      </c>
      <c r="BF98" s="1">
        <v>2</v>
      </c>
    </row>
    <row r="99" spans="1:58" x14ac:dyDescent="0.3">
      <c r="A99" s="1" t="s">
        <v>7</v>
      </c>
      <c r="B99" s="1">
        <v>108</v>
      </c>
      <c r="Q99" s="1">
        <v>64</v>
      </c>
      <c r="R99" s="1">
        <v>11</v>
      </c>
      <c r="AA99" s="1">
        <v>15</v>
      </c>
      <c r="AB99" s="1">
        <v>11</v>
      </c>
      <c r="AM99" s="1">
        <v>53</v>
      </c>
      <c r="AN99" s="1">
        <v>11</v>
      </c>
      <c r="BE99" s="1">
        <v>96</v>
      </c>
      <c r="BF99" s="1">
        <v>11</v>
      </c>
    </row>
    <row r="100" spans="1:58" x14ac:dyDescent="0.3">
      <c r="A100" s="1" t="s">
        <v>7</v>
      </c>
      <c r="B100" s="1">
        <v>107</v>
      </c>
      <c r="G100" s="1">
        <v>77</v>
      </c>
      <c r="H100" s="1">
        <v>7</v>
      </c>
      <c r="M100" s="1">
        <v>63</v>
      </c>
      <c r="N100" s="1">
        <v>7</v>
      </c>
      <c r="S100" s="1">
        <v>14</v>
      </c>
      <c r="T100" s="1">
        <v>7</v>
      </c>
      <c r="AM100" s="1">
        <v>8</v>
      </c>
      <c r="AN100" s="1">
        <v>7</v>
      </c>
    </row>
    <row r="101" spans="1:58" x14ac:dyDescent="0.3">
      <c r="A101" s="1" t="s">
        <v>7</v>
      </c>
      <c r="B101" s="1">
        <v>106</v>
      </c>
      <c r="C101" s="1">
        <v>98</v>
      </c>
      <c r="D101" s="1">
        <v>16</v>
      </c>
      <c r="G101" s="1">
        <v>189</v>
      </c>
      <c r="H101" s="1">
        <v>16</v>
      </c>
      <c r="M101" s="1">
        <v>83</v>
      </c>
      <c r="N101" s="1">
        <v>16</v>
      </c>
      <c r="AC101" s="1">
        <v>54</v>
      </c>
      <c r="AD101" s="1">
        <v>16</v>
      </c>
    </row>
    <row r="102" spans="1:58" x14ac:dyDescent="0.3">
      <c r="A102" s="1" t="s">
        <v>7</v>
      </c>
      <c r="B102" s="1">
        <v>105</v>
      </c>
      <c r="C102" s="1">
        <v>79</v>
      </c>
      <c r="D102" s="1">
        <v>6</v>
      </c>
      <c r="Q102" s="1">
        <v>9</v>
      </c>
      <c r="R102" s="1">
        <v>7</v>
      </c>
      <c r="AA102" s="1">
        <v>13</v>
      </c>
      <c r="AB102" s="1">
        <v>6</v>
      </c>
      <c r="AC102" s="1">
        <v>21</v>
      </c>
      <c r="AD102" s="1">
        <v>6</v>
      </c>
      <c r="BE102" s="1">
        <v>20</v>
      </c>
      <c r="BF102" s="1">
        <v>7</v>
      </c>
    </row>
    <row r="103" spans="1:58" x14ac:dyDescent="0.3">
      <c r="A103" s="1" t="s">
        <v>7</v>
      </c>
      <c r="B103" s="1">
        <v>104</v>
      </c>
      <c r="G103" s="1">
        <v>103</v>
      </c>
      <c r="H103" s="1">
        <v>9</v>
      </c>
      <c r="M103" s="1">
        <v>31</v>
      </c>
      <c r="N103" s="1">
        <v>9</v>
      </c>
      <c r="S103" s="1">
        <v>64</v>
      </c>
      <c r="T103" s="1">
        <v>9</v>
      </c>
      <c r="AA103" s="1">
        <v>62</v>
      </c>
      <c r="AB103" s="1">
        <v>9</v>
      </c>
    </row>
    <row r="104" spans="1:58" x14ac:dyDescent="0.3">
      <c r="A104" s="1" t="s">
        <v>7</v>
      </c>
      <c r="B104" s="1">
        <v>103</v>
      </c>
      <c r="G104" s="1">
        <v>172</v>
      </c>
      <c r="H104" s="1">
        <v>17</v>
      </c>
      <c r="M104" s="1">
        <v>81</v>
      </c>
      <c r="N104" s="1">
        <v>17</v>
      </c>
      <c r="AQ104" s="1">
        <v>55</v>
      </c>
      <c r="AR104" s="1">
        <v>17</v>
      </c>
      <c r="BC104" s="1">
        <v>64</v>
      </c>
      <c r="BD104" s="1">
        <v>17</v>
      </c>
      <c r="BE104" s="1">
        <v>96</v>
      </c>
      <c r="BF104" s="1">
        <v>17</v>
      </c>
    </row>
    <row r="105" spans="1:58" x14ac:dyDescent="0.3">
      <c r="A105" s="1" t="s">
        <v>7</v>
      </c>
      <c r="B105" s="1">
        <v>102</v>
      </c>
      <c r="G105" s="1">
        <v>12</v>
      </c>
      <c r="H105" s="1">
        <v>5</v>
      </c>
      <c r="M105" s="1">
        <v>56</v>
      </c>
      <c r="N105" s="1">
        <v>5</v>
      </c>
      <c r="S105" s="1">
        <v>41</v>
      </c>
      <c r="T105" s="1">
        <v>5</v>
      </c>
      <c r="AQ105" s="1">
        <v>0</v>
      </c>
      <c r="AR105" s="1">
        <v>5</v>
      </c>
    </row>
    <row r="106" spans="1:58" x14ac:dyDescent="0.3">
      <c r="A106" s="1" t="s">
        <v>7</v>
      </c>
      <c r="B106" s="1">
        <v>101</v>
      </c>
      <c r="C106" s="1">
        <v>99</v>
      </c>
      <c r="D106" s="1">
        <v>12</v>
      </c>
      <c r="G106" s="1">
        <v>142</v>
      </c>
      <c r="H106" s="1">
        <v>12</v>
      </c>
      <c r="M106" s="1">
        <v>-30</v>
      </c>
      <c r="N106" s="1">
        <v>12</v>
      </c>
      <c r="AC106" s="1">
        <v>87</v>
      </c>
      <c r="AD106" s="1">
        <v>12</v>
      </c>
      <c r="AI106" s="1">
        <v>50</v>
      </c>
      <c r="AJ106" s="1">
        <v>12</v>
      </c>
    </row>
    <row r="107" spans="1:58" x14ac:dyDescent="0.3">
      <c r="A107" s="1" t="s">
        <v>7</v>
      </c>
      <c r="B107" s="1">
        <v>100</v>
      </c>
      <c r="C107" s="1">
        <v>22</v>
      </c>
      <c r="D107" s="1">
        <v>4</v>
      </c>
      <c r="G107" s="1">
        <v>44</v>
      </c>
      <c r="H107" s="1">
        <v>6</v>
      </c>
      <c r="M107" s="1">
        <v>8</v>
      </c>
      <c r="N107" s="1">
        <v>6</v>
      </c>
      <c r="Q107" s="1">
        <v>58</v>
      </c>
      <c r="R107" s="1">
        <v>6</v>
      </c>
      <c r="AC107" s="1">
        <v>48</v>
      </c>
      <c r="AD107" s="1">
        <v>6</v>
      </c>
      <c r="AE107" s="1" t="s">
        <v>29</v>
      </c>
    </row>
    <row r="108" spans="1:58" x14ac:dyDescent="0.3">
      <c r="A108" s="1" t="s">
        <v>7</v>
      </c>
      <c r="B108" s="1">
        <v>99</v>
      </c>
      <c r="G108" s="1">
        <v>24</v>
      </c>
      <c r="H108" s="1">
        <v>4</v>
      </c>
      <c r="M108" s="1">
        <v>21</v>
      </c>
      <c r="N108" s="1">
        <v>4</v>
      </c>
      <c r="U108" s="1">
        <v>50</v>
      </c>
      <c r="V108" s="1">
        <v>4</v>
      </c>
      <c r="AC108" s="1">
        <v>0</v>
      </c>
      <c r="AD108" s="1">
        <v>4</v>
      </c>
    </row>
    <row r="109" spans="1:58" x14ac:dyDescent="0.3">
      <c r="A109" s="1" t="s">
        <v>7</v>
      </c>
      <c r="B109" s="1">
        <v>98</v>
      </c>
      <c r="G109" s="1">
        <v>50</v>
      </c>
      <c r="H109" s="1">
        <v>5</v>
      </c>
      <c r="M109" s="1">
        <v>49</v>
      </c>
      <c r="N109" s="1">
        <v>5</v>
      </c>
      <c r="U109" s="1">
        <v>22</v>
      </c>
      <c r="V109" s="1">
        <v>5</v>
      </c>
      <c r="AA109" s="1">
        <v>0</v>
      </c>
      <c r="AB109" s="1">
        <v>5</v>
      </c>
    </row>
    <row r="110" spans="1:58" x14ac:dyDescent="0.3">
      <c r="A110" s="1" t="s">
        <v>7</v>
      </c>
      <c r="B110" s="1">
        <v>97</v>
      </c>
      <c r="C110" s="1">
        <v>60</v>
      </c>
      <c r="D110" s="1">
        <v>8</v>
      </c>
      <c r="G110" s="1">
        <v>-4</v>
      </c>
      <c r="H110" s="1">
        <v>8</v>
      </c>
      <c r="Q110" s="1">
        <v>9</v>
      </c>
      <c r="R110" s="1">
        <v>8</v>
      </c>
      <c r="AA110" s="1">
        <v>67</v>
      </c>
      <c r="AB110" s="1">
        <v>8</v>
      </c>
    </row>
    <row r="111" spans="1:58" x14ac:dyDescent="0.3">
      <c r="A111" s="1" t="s">
        <v>7</v>
      </c>
      <c r="B111" s="1">
        <v>96</v>
      </c>
      <c r="C111" s="1">
        <v>59</v>
      </c>
      <c r="D111" s="1">
        <v>4</v>
      </c>
      <c r="G111" s="1">
        <v>48</v>
      </c>
      <c r="H111" s="1">
        <v>4</v>
      </c>
      <c r="Q111" s="1">
        <v>28</v>
      </c>
      <c r="R111" s="1">
        <v>4</v>
      </c>
      <c r="U111" s="1">
        <v>-31</v>
      </c>
      <c r="V111" s="1">
        <v>4</v>
      </c>
    </row>
    <row r="112" spans="1:58" x14ac:dyDescent="0.3">
      <c r="A112" s="1" t="s">
        <v>7</v>
      </c>
      <c r="B112" s="1">
        <v>95</v>
      </c>
      <c r="C112" s="1">
        <v>46</v>
      </c>
      <c r="D112" s="1">
        <v>8</v>
      </c>
      <c r="G112" s="1">
        <v>90</v>
      </c>
      <c r="H112" s="1">
        <v>8</v>
      </c>
      <c r="Q112" s="1">
        <v>58</v>
      </c>
      <c r="R112" s="1">
        <v>8</v>
      </c>
      <c r="AI112" s="1">
        <v>13</v>
      </c>
      <c r="AJ112" s="1">
        <v>8</v>
      </c>
    </row>
    <row r="113" spans="1:98" x14ac:dyDescent="0.3">
      <c r="A113" s="1" t="s">
        <v>7</v>
      </c>
      <c r="B113" s="1">
        <v>94</v>
      </c>
      <c r="C113" s="1">
        <v>30</v>
      </c>
      <c r="D113" s="1">
        <v>8</v>
      </c>
      <c r="G113" s="1">
        <v>62</v>
      </c>
      <c r="H113" s="1">
        <v>8</v>
      </c>
      <c r="K113" s="1">
        <v>86</v>
      </c>
      <c r="L113" s="1">
        <v>8</v>
      </c>
      <c r="M113" s="1">
        <v>0</v>
      </c>
      <c r="N113" s="1">
        <v>8</v>
      </c>
    </row>
    <row r="114" spans="1:98" x14ac:dyDescent="0.3">
      <c r="A114" s="1" t="s">
        <v>7</v>
      </c>
      <c r="B114" s="1">
        <v>93</v>
      </c>
      <c r="G114" s="1">
        <v>130</v>
      </c>
      <c r="H114" s="1">
        <v>20</v>
      </c>
      <c r="M114" s="1">
        <v>108</v>
      </c>
      <c r="N114" s="1">
        <v>20</v>
      </c>
      <c r="U114" s="1">
        <v>99</v>
      </c>
      <c r="V114" s="1">
        <v>20</v>
      </c>
      <c r="AA114" s="1">
        <v>99</v>
      </c>
      <c r="AB114" s="1">
        <v>20</v>
      </c>
    </row>
    <row r="115" spans="1:98" x14ac:dyDescent="0.3">
      <c r="A115" s="1" t="s">
        <v>7</v>
      </c>
      <c r="B115" s="1">
        <v>92</v>
      </c>
      <c r="C115" s="1">
        <v>13</v>
      </c>
      <c r="D115" s="1">
        <v>4</v>
      </c>
      <c r="G115" s="1">
        <v>25</v>
      </c>
      <c r="H115" s="1">
        <v>4</v>
      </c>
      <c r="M115" s="1">
        <v>13</v>
      </c>
      <c r="N115" s="1">
        <v>4</v>
      </c>
      <c r="U115" s="1">
        <v>34</v>
      </c>
      <c r="V115" s="1">
        <v>4</v>
      </c>
    </row>
    <row r="116" spans="1:98" x14ac:dyDescent="0.3">
      <c r="A116" s="1" t="s">
        <v>7</v>
      </c>
      <c r="B116" s="1">
        <v>91</v>
      </c>
      <c r="G116" s="1">
        <v>123</v>
      </c>
      <c r="H116" s="1">
        <v>16</v>
      </c>
      <c r="M116" s="1">
        <v>108</v>
      </c>
      <c r="N116" s="1">
        <v>16</v>
      </c>
      <c r="Q116" s="1">
        <v>122</v>
      </c>
      <c r="R116" s="1">
        <v>16</v>
      </c>
      <c r="AA116" s="1">
        <v>97</v>
      </c>
      <c r="AB116" s="1">
        <v>16</v>
      </c>
      <c r="CN116" s="1" t="s">
        <v>43</v>
      </c>
      <c r="CP116" s="1" t="s">
        <v>53</v>
      </c>
    </row>
    <row r="117" spans="1:98" x14ac:dyDescent="0.3">
      <c r="A117" s="1" t="s">
        <v>7</v>
      </c>
      <c r="B117" s="1">
        <v>90</v>
      </c>
      <c r="C117" s="1">
        <v>62</v>
      </c>
      <c r="D117" s="1">
        <v>12</v>
      </c>
      <c r="G117" s="1">
        <v>39</v>
      </c>
      <c r="H117" s="1">
        <v>12</v>
      </c>
      <c r="M117" s="1">
        <v>98</v>
      </c>
      <c r="N117" s="1">
        <v>12</v>
      </c>
      <c r="U117" s="1">
        <v>42</v>
      </c>
      <c r="V117" s="1">
        <v>12</v>
      </c>
      <c r="CN117" s="1" t="s">
        <v>42</v>
      </c>
    </row>
    <row r="118" spans="1:98" x14ac:dyDescent="0.3">
      <c r="A118" s="1" t="s">
        <v>7</v>
      </c>
      <c r="B118" s="1">
        <v>89</v>
      </c>
      <c r="C118" s="1">
        <v>34</v>
      </c>
      <c r="D118" s="1">
        <v>5</v>
      </c>
      <c r="G118" s="1">
        <v>67</v>
      </c>
      <c r="H118" s="1">
        <v>5</v>
      </c>
      <c r="M118" s="1">
        <v>9</v>
      </c>
      <c r="N118" s="1">
        <v>5</v>
      </c>
      <c r="Q118" s="1">
        <v>14</v>
      </c>
      <c r="R118" s="1">
        <v>5</v>
      </c>
      <c r="CN118" s="1" t="s">
        <v>51</v>
      </c>
      <c r="CO118" s="23"/>
      <c r="CP118" s="1" t="s">
        <v>60</v>
      </c>
      <c r="CQ118" s="1" t="s">
        <v>63</v>
      </c>
    </row>
    <row r="119" spans="1:98" x14ac:dyDescent="0.3">
      <c r="A119" s="1" t="s">
        <v>7</v>
      </c>
      <c r="B119" s="1">
        <v>88</v>
      </c>
      <c r="C119" s="1">
        <v>8</v>
      </c>
      <c r="D119" s="1">
        <v>4</v>
      </c>
      <c r="G119" s="1">
        <v>46</v>
      </c>
      <c r="H119" s="1">
        <v>4</v>
      </c>
      <c r="M119" s="1">
        <v>23</v>
      </c>
      <c r="N119" s="1">
        <v>4</v>
      </c>
      <c r="S119" s="1">
        <v>6</v>
      </c>
      <c r="T119" s="1">
        <v>4</v>
      </c>
      <c r="CN119" s="1" t="s">
        <v>52</v>
      </c>
      <c r="CO119" s="24"/>
      <c r="CP119" s="1" t="s">
        <v>61</v>
      </c>
      <c r="CQ119" s="1" t="s">
        <v>54</v>
      </c>
    </row>
    <row r="120" spans="1:98" x14ac:dyDescent="0.3">
      <c r="A120" s="1" t="s">
        <v>7</v>
      </c>
      <c r="B120" s="1">
        <v>87</v>
      </c>
      <c r="C120" s="1">
        <v>21</v>
      </c>
      <c r="D120" s="1">
        <v>3</v>
      </c>
      <c r="G120" s="1">
        <v>23</v>
      </c>
      <c r="H120" s="1">
        <v>3</v>
      </c>
      <c r="I120" s="1">
        <v>8</v>
      </c>
      <c r="J120" s="1">
        <v>3</v>
      </c>
      <c r="M120" s="1">
        <v>0</v>
      </c>
      <c r="N120" s="1">
        <v>3</v>
      </c>
      <c r="CN120" s="1" t="s">
        <v>50</v>
      </c>
      <c r="CO120" s="17"/>
      <c r="CP120" s="1" t="s">
        <v>55</v>
      </c>
      <c r="CQ120" s="1" t="s">
        <v>64</v>
      </c>
    </row>
    <row r="121" spans="1:98" x14ac:dyDescent="0.3">
      <c r="A121" s="1" t="s">
        <v>7</v>
      </c>
      <c r="B121" s="1">
        <v>86</v>
      </c>
      <c r="C121" s="1">
        <v>0</v>
      </c>
      <c r="D121" s="1">
        <v>4</v>
      </c>
      <c r="G121" s="1">
        <v>37</v>
      </c>
      <c r="H121" s="1">
        <v>4</v>
      </c>
      <c r="I121" s="1">
        <v>25</v>
      </c>
      <c r="J121" s="1">
        <v>4</v>
      </c>
      <c r="K121" s="1">
        <v>62</v>
      </c>
      <c r="L121" s="1">
        <v>4</v>
      </c>
      <c r="CN121" s="1" t="s">
        <v>44</v>
      </c>
      <c r="CO121" s="18"/>
      <c r="CP121" s="1" t="s">
        <v>59</v>
      </c>
      <c r="CQ121" s="1" t="s">
        <v>65</v>
      </c>
    </row>
    <row r="122" spans="1:98" x14ac:dyDescent="0.3">
      <c r="A122" s="1" t="s">
        <v>7</v>
      </c>
      <c r="B122" s="1">
        <v>85</v>
      </c>
      <c r="C122" s="1">
        <v>93</v>
      </c>
      <c r="D122" s="1">
        <v>8</v>
      </c>
      <c r="G122" s="1">
        <v>13</v>
      </c>
      <c r="H122" s="1">
        <v>8</v>
      </c>
      <c r="S122" s="1">
        <v>81</v>
      </c>
      <c r="T122" s="1">
        <v>8</v>
      </c>
      <c r="AA122" s="1">
        <v>55</v>
      </c>
      <c r="AB122" s="1">
        <v>8</v>
      </c>
      <c r="CN122" s="1" t="s">
        <v>45</v>
      </c>
      <c r="CO122" s="21"/>
      <c r="CP122" s="1" t="s">
        <v>56</v>
      </c>
      <c r="CQ122" s="1" t="s">
        <v>66</v>
      </c>
    </row>
    <row r="123" spans="1:98" x14ac:dyDescent="0.3">
      <c r="A123" s="1" t="s">
        <v>7</v>
      </c>
      <c r="B123" s="1">
        <v>84</v>
      </c>
      <c r="C123" s="1">
        <v>34</v>
      </c>
      <c r="D123" s="1">
        <v>8</v>
      </c>
      <c r="G123" s="1">
        <v>52</v>
      </c>
      <c r="H123" s="1">
        <v>8</v>
      </c>
      <c r="M123" s="1">
        <v>34</v>
      </c>
      <c r="N123" s="1">
        <v>8</v>
      </c>
      <c r="S123" s="1">
        <v>50</v>
      </c>
      <c r="T123" s="1">
        <v>8</v>
      </c>
      <c r="AA123" s="1">
        <v>32</v>
      </c>
      <c r="AB123" s="1">
        <v>8</v>
      </c>
      <c r="CN123" s="1" t="s">
        <v>46</v>
      </c>
      <c r="CO123" s="19"/>
      <c r="CP123" s="1" t="s">
        <v>57</v>
      </c>
      <c r="CQ123" s="1" t="s">
        <v>67</v>
      </c>
    </row>
    <row r="124" spans="1:98" x14ac:dyDescent="0.3">
      <c r="A124" s="1" t="s">
        <v>7</v>
      </c>
      <c r="B124" s="1">
        <v>83</v>
      </c>
      <c r="C124" s="1">
        <v>23</v>
      </c>
      <c r="D124" s="1">
        <v>8</v>
      </c>
      <c r="G124" s="1">
        <v>24</v>
      </c>
      <c r="H124" s="1">
        <v>8</v>
      </c>
      <c r="M124" s="1">
        <v>94</v>
      </c>
      <c r="N124" s="1">
        <v>8</v>
      </c>
      <c r="S124" s="1">
        <v>43</v>
      </c>
      <c r="T124" s="1">
        <v>8</v>
      </c>
      <c r="CN124" s="1" t="s">
        <v>47</v>
      </c>
      <c r="CO124" s="20"/>
      <c r="CP124" s="1" t="s">
        <v>58</v>
      </c>
      <c r="CQ124" s="1" t="s">
        <v>68</v>
      </c>
    </row>
    <row r="125" spans="1:98" x14ac:dyDescent="0.3">
      <c r="A125" s="1" t="s">
        <v>7</v>
      </c>
      <c r="B125" s="1">
        <v>82</v>
      </c>
      <c r="C125" s="1">
        <v>72</v>
      </c>
      <c r="D125" s="1">
        <v>12</v>
      </c>
      <c r="G125" s="1">
        <v>84</v>
      </c>
      <c r="H125" s="1">
        <v>12</v>
      </c>
      <c r="M125" s="1">
        <v>56</v>
      </c>
      <c r="N125" s="1">
        <v>12</v>
      </c>
      <c r="AI125" s="1">
        <v>32</v>
      </c>
      <c r="AJ125" s="1">
        <v>12</v>
      </c>
      <c r="CN125" s="1" t="s">
        <v>48</v>
      </c>
      <c r="CO125" s="22"/>
      <c r="CP125" s="1" t="s">
        <v>62</v>
      </c>
      <c r="CQ125" s="1" t="s">
        <v>69</v>
      </c>
    </row>
    <row r="126" spans="1:98" x14ac:dyDescent="0.3">
      <c r="A126" s="1" t="s">
        <v>7</v>
      </c>
      <c r="B126" s="1">
        <v>81</v>
      </c>
      <c r="C126" s="1">
        <v>29</v>
      </c>
      <c r="D126" s="1">
        <v>5</v>
      </c>
      <c r="E126" s="1">
        <v>33</v>
      </c>
      <c r="F126" s="1">
        <v>6</v>
      </c>
      <c r="G126" s="1">
        <v>30.5</v>
      </c>
      <c r="H126" s="1">
        <v>3</v>
      </c>
      <c r="M126" s="1">
        <v>16</v>
      </c>
      <c r="N126" s="1">
        <v>2</v>
      </c>
      <c r="U126" s="1">
        <v>-20</v>
      </c>
      <c r="V126" s="1">
        <v>5</v>
      </c>
      <c r="AA126" s="1">
        <v>30.5</v>
      </c>
      <c r="AB126" s="1">
        <v>3</v>
      </c>
    </row>
    <row r="127" spans="1:98" x14ac:dyDescent="0.3">
      <c r="A127" s="1" t="s">
        <v>7</v>
      </c>
      <c r="B127" s="1">
        <v>80</v>
      </c>
      <c r="C127" s="1">
        <v>28</v>
      </c>
      <c r="D127" s="1">
        <v>7</v>
      </c>
      <c r="E127" s="1">
        <v>0</v>
      </c>
      <c r="F127" s="1">
        <v>7</v>
      </c>
      <c r="G127" s="1">
        <v>54</v>
      </c>
      <c r="H127" s="1">
        <v>8</v>
      </c>
      <c r="S127" s="1">
        <v>67</v>
      </c>
      <c r="T127" s="1">
        <v>7</v>
      </c>
      <c r="U127" s="1">
        <v>46</v>
      </c>
      <c r="V127" s="1">
        <v>7</v>
      </c>
      <c r="CJ127" s="1" t="s">
        <v>8</v>
      </c>
      <c r="CK127" s="1" t="s">
        <v>36</v>
      </c>
      <c r="CL127" s="1" t="s">
        <v>37</v>
      </c>
      <c r="CM127" s="1" t="s">
        <v>42</v>
      </c>
      <c r="CO127" s="1" t="s">
        <v>40</v>
      </c>
      <c r="CP127" s="1" t="s">
        <v>36</v>
      </c>
      <c r="CQ127" s="1" t="s">
        <v>41</v>
      </c>
      <c r="CR127" s="1" t="s">
        <v>42</v>
      </c>
      <c r="CT127" s="1" t="s">
        <v>35</v>
      </c>
    </row>
    <row r="128" spans="1:98" x14ac:dyDescent="0.3">
      <c r="A128" s="1" t="s">
        <v>7</v>
      </c>
      <c r="B128" s="1">
        <v>79</v>
      </c>
      <c r="C128" s="1">
        <v>75</v>
      </c>
      <c r="D128" s="1">
        <v>8</v>
      </c>
      <c r="E128" s="1">
        <v>87</v>
      </c>
      <c r="F128" s="1">
        <v>8</v>
      </c>
      <c r="G128" s="1">
        <v>10</v>
      </c>
      <c r="H128" s="1">
        <v>8</v>
      </c>
      <c r="W128" s="1">
        <v>32</v>
      </c>
      <c r="X128" s="1">
        <v>8</v>
      </c>
    </row>
    <row r="129" spans="1:99" x14ac:dyDescent="0.3">
      <c r="A129" s="1" t="s">
        <v>7</v>
      </c>
      <c r="B129" s="1">
        <v>78</v>
      </c>
      <c r="C129" s="1">
        <v>0</v>
      </c>
      <c r="D129" s="1">
        <v>3</v>
      </c>
      <c r="E129" s="1">
        <v>0</v>
      </c>
      <c r="F129" s="1">
        <v>1</v>
      </c>
      <c r="G129" s="1">
        <v>44</v>
      </c>
      <c r="H129" s="1">
        <v>4</v>
      </c>
      <c r="I129" s="1">
        <v>-14</v>
      </c>
      <c r="J129" s="1">
        <v>2</v>
      </c>
      <c r="M129" s="1">
        <v>33</v>
      </c>
      <c r="N129" s="1">
        <v>4</v>
      </c>
      <c r="W129" s="1">
        <v>-1</v>
      </c>
      <c r="X129" s="1">
        <v>4</v>
      </c>
      <c r="BA129" s="1">
        <v>34</v>
      </c>
      <c r="BB129" s="1">
        <v>2</v>
      </c>
      <c r="CG129" s="2"/>
      <c r="CH129" s="1" t="s">
        <v>30</v>
      </c>
      <c r="CJ129" s="1" cm="1">
        <f t="array" ref="CJ129:CM155">_xlfn.LET(
  _xlpm.cols_impairs, _xlfn.SEQUENCE(1,COLUMNS(C1:BV1)/2,1,2),
  _xlpm.cols_pairs,   _xlfn.SEQUENCE(1,COLUMNS(C2:BV2)/2,2,2),
  _xlpm.noms,     TRANSPOSE(INDEX(C9:BV9,,_xlpm.cols_impairs)),
  _xlpm.moy,      TRANSPOSE(INDEX(C1:BV1,,_xlpm.cols_impairs)),
  _xlpm.parties,  TRANSPOSE(INDEX(C2:BV2,,_xlpm.cols_pairs)),
  _xlpm.ok, ISNUMBER(_xlpm.moy),
  _xlpm.nomsF,    _xlfn._xlws.FILTER(_xlpm.noms, _xlpm.ok),
  _xlpm.moyF,     _xlfn._xlws.FILTER(_xlpm.moy, _xlpm.ok),
  _xlpm.partF,    _xlfn._xlws.FILTER(_xlpm.parties, _xlpm.ok),
  _xlpm.T, _xlfn._xlws.SORT(CHOOSE({1,2,3}, _xlpm.nomsF, _xlpm.moyF, _xlpm.partF), 2, -1),
  CHOOSE({1,2,3,4},
          _xlfn.SEQUENCE(ROWS(_xlpm.T)),
          INDEX(_xlpm.T,,1),
          TEXT(ROUND(INDEX(_xlpm.T,,2),3),"0.000"),
          INDEX(_xlpm.T,,3))
)</f>
        <v>1</v>
      </c>
      <c r="CK129" s="1" t="str">
        <v>Boris</v>
      </c>
      <c r="CL129" s="1" t="str">
        <v>7.200</v>
      </c>
      <c r="CM129" s="1">
        <v>1275</v>
      </c>
      <c r="CO129" s="1" cm="1">
        <f t="array" ref="CO129:CR135">_xlfn.LET(
  _xlpm.cols_impairs, _xlfn.SEQUENCE(1,COLUMNS(C1:BF1)/2,1,2),
  _xlpm.cols_pairs,   _xlfn.SEQUENCE(1,COLUMNS(C2:BF2)/2,2,2),
  _xlpm.noms,     TRANSPOSE(INDEX(C9:BF9,,_xlpm.cols_impairs)),
  _xlpm.moy,      TRANSPOSE(INDEX(C1:BF1,,_xlpm.cols_impairs)),
  _xlpm.points,   TRANSPOSE(INDEX(C2:BF2,,_xlpm.cols_impairs)),
  _xlpm.parties,  TRANSPOSE(INDEX(C2:BF2,,_xlpm.cols_pairs)),
  _xlpm.ko, NOT(ISNUMBER(_xlpm.moy)),
  _xlpm.nomsK,   _xlfn._xlws.FILTER(_xlpm.noms, _xlpm.ko),
  _xlpm.virtK,   _xlfn._xlws.FILTER(_xlpm.points/_xlpm.parties, _xlpm.ko),
  _xlpm.partK,   _xlfn._xlws.FILTER(_xlpm.parties, _xlpm.ko),
  _xlpm.T, _xlfn._xlws.SORT(CHOOSE({1,2,3}, _xlpm.nomsK, _xlpm.virtK, _xlpm.partK), 2, -1),
  CHOOSE({1,2,3,4},
          _xlfn.SEQUENCE(ROWS(_xlpm.T)),
          INDEX(_xlpm.T,,1),
          TEXT(INDEX(_xlpm.T,,2),"0.000"),
          INDEX(_xlpm.T,,3))
)</f>
        <v>1</v>
      </c>
      <c r="CP129" s="1" t="str">
        <v>Amélie</v>
      </c>
      <c r="CQ129" s="1" t="str">
        <v>17.000</v>
      </c>
      <c r="CR129" s="1">
        <v>2</v>
      </c>
      <c r="CT129" s="1" t="str" cm="1">
        <f t="array" ref="CT129:CU156">_xlfn.LET(  _xlpm.noms, TRANSPOSE(INDEX(C9:BF9,_xlfn.SEQUENCE(1,COLUMNS(C9:BF9)/2,1,2))),_xlpm.moy,  TRANSPOSE(INDEX(C1:BF1,,_xlfn.SEQUENCE(1,COLUMNS(C1:BF1)/2,1,2))),_xlfn.SORTBY(CHOOSE({1,2}, _xlpm.noms, _xlpm.moy), IF(ISNUMBER(_xlpm.moy), _xlpm.moy, -1E+99), -1))</f>
        <v>Boris</v>
      </c>
      <c r="CU129" s="1">
        <v>7.1996078431372545</v>
      </c>
    </row>
    <row r="130" spans="1:99" x14ac:dyDescent="0.3">
      <c r="A130" s="1" t="s">
        <v>24</v>
      </c>
      <c r="B130" s="1">
        <v>77</v>
      </c>
      <c r="G130" s="1">
        <v>135</v>
      </c>
      <c r="H130" s="1">
        <v>12</v>
      </c>
      <c r="M130" s="1">
        <v>142</v>
      </c>
      <c r="N130" s="1">
        <v>12</v>
      </c>
      <c r="U130" s="1">
        <v>-7</v>
      </c>
      <c r="V130" s="1">
        <v>12</v>
      </c>
      <c r="AA130" s="1">
        <v>20</v>
      </c>
      <c r="AB130" s="1">
        <v>8</v>
      </c>
      <c r="CG130" s="3"/>
      <c r="CH130" s="1" t="s">
        <v>31</v>
      </c>
      <c r="CJ130" s="1">
        <v>2</v>
      </c>
      <c r="CK130" s="1" t="str">
        <v>Vincent</v>
      </c>
      <c r="CL130" s="1" t="str">
        <v>6.750</v>
      </c>
      <c r="CM130" s="1">
        <v>20</v>
      </c>
      <c r="CO130" s="1">
        <v>2</v>
      </c>
      <c r="CP130" s="1" t="str">
        <v>Maxime_Ca</v>
      </c>
      <c r="CQ130" s="1" t="str">
        <v>8.500</v>
      </c>
      <c r="CR130" s="1">
        <v>4</v>
      </c>
      <c r="CT130" s="1" t="str">
        <v>Gauthier</v>
      </c>
      <c r="CU130" s="1">
        <v>6.6086956521739131</v>
      </c>
    </row>
    <row r="131" spans="1:99" x14ac:dyDescent="0.3">
      <c r="A131" s="1" t="s">
        <v>24</v>
      </c>
      <c r="B131" s="1">
        <v>76</v>
      </c>
      <c r="C131" s="1">
        <v>-9</v>
      </c>
      <c r="D131" s="1">
        <v>4</v>
      </c>
      <c r="E131" s="1">
        <v>39</v>
      </c>
      <c r="F131" s="1">
        <v>4</v>
      </c>
      <c r="G131" s="1">
        <v>45</v>
      </c>
      <c r="H131" s="1">
        <v>4</v>
      </c>
      <c r="AI131" s="1">
        <v>-3</v>
      </c>
      <c r="AJ131" s="1">
        <v>4</v>
      </c>
      <c r="CG131" s="4"/>
      <c r="CH131" s="1" t="s">
        <v>32</v>
      </c>
      <c r="CJ131" s="1">
        <v>3</v>
      </c>
      <c r="CK131" s="1" t="str">
        <v>Gauthier</v>
      </c>
      <c r="CL131" s="1" t="str">
        <v>6.609</v>
      </c>
      <c r="CM131" s="1">
        <v>115</v>
      </c>
      <c r="CO131" s="1">
        <v>3</v>
      </c>
      <c r="CP131" s="1" t="str">
        <v>Pascale</v>
      </c>
      <c r="CQ131" s="1" t="str">
        <v>7.118</v>
      </c>
      <c r="CR131" s="1">
        <v>17</v>
      </c>
      <c r="CT131" s="1" t="str">
        <v>Célian</v>
      </c>
      <c r="CU131" s="1">
        <v>6.2047058823529415</v>
      </c>
    </row>
    <row r="132" spans="1:99" x14ac:dyDescent="0.3">
      <c r="A132" s="1" t="s">
        <v>22</v>
      </c>
      <c r="B132" s="1">
        <v>75</v>
      </c>
      <c r="C132" s="1">
        <v>20</v>
      </c>
      <c r="D132" s="1">
        <v>4</v>
      </c>
      <c r="G132" s="1">
        <v>58</v>
      </c>
      <c r="H132" s="1">
        <v>4</v>
      </c>
      <c r="U132" s="1">
        <v>-30</v>
      </c>
      <c r="V132" s="1">
        <v>4</v>
      </c>
      <c r="AU132" s="1">
        <v>34</v>
      </c>
      <c r="AV132" s="1">
        <v>4</v>
      </c>
      <c r="CJ132" s="1">
        <v>4</v>
      </c>
      <c r="CK132" s="1" t="str">
        <v>Célian</v>
      </c>
      <c r="CL132" s="1" t="str">
        <v>6.205</v>
      </c>
      <c r="CM132" s="1">
        <v>425</v>
      </c>
      <c r="CO132" s="1">
        <v>4</v>
      </c>
      <c r="CP132" s="1" t="str">
        <v>Harrison</v>
      </c>
      <c r="CQ132" s="1" t="str">
        <v>5.400</v>
      </c>
      <c r="CR132" s="1">
        <v>5</v>
      </c>
      <c r="CT132" s="1" t="str">
        <v>William</v>
      </c>
      <c r="CU132" s="1">
        <v>6.068965517241379</v>
      </c>
    </row>
    <row r="133" spans="1:99" x14ac:dyDescent="0.3">
      <c r="A133" s="1" t="s">
        <v>7</v>
      </c>
      <c r="B133" s="1">
        <v>74</v>
      </c>
      <c r="C133" s="1">
        <v>27</v>
      </c>
      <c r="D133" s="1">
        <v>4</v>
      </c>
      <c r="G133" s="1">
        <v>13</v>
      </c>
      <c r="H133" s="1">
        <v>4</v>
      </c>
      <c r="M133" s="1">
        <v>29</v>
      </c>
      <c r="N133" s="1">
        <v>4</v>
      </c>
      <c r="U133" s="1">
        <v>21</v>
      </c>
      <c r="V133" s="1">
        <v>4</v>
      </c>
      <c r="CG133" s="5"/>
      <c r="CH133" s="1" t="s">
        <v>9</v>
      </c>
      <c r="CJ133" s="1">
        <v>5</v>
      </c>
      <c r="CK133" s="1" t="str">
        <v>William</v>
      </c>
      <c r="CL133" s="1" t="str">
        <v>6.069</v>
      </c>
      <c r="CM133" s="1">
        <v>29</v>
      </c>
      <c r="CO133" s="1">
        <v>5</v>
      </c>
      <c r="CP133" s="1" t="str">
        <v>Aurélien</v>
      </c>
      <c r="CQ133" s="1" t="str">
        <v>2.800</v>
      </c>
      <c r="CR133" s="1">
        <v>5</v>
      </c>
      <c r="CT133" s="1" t="str">
        <v>Tom</v>
      </c>
      <c r="CU133" s="1">
        <v>5.9383753501400562</v>
      </c>
    </row>
    <row r="134" spans="1:99" x14ac:dyDescent="0.3">
      <c r="A134" s="1" t="s">
        <v>7</v>
      </c>
      <c r="B134" s="1">
        <v>73</v>
      </c>
      <c r="C134" s="1">
        <v>92</v>
      </c>
      <c r="D134" s="1">
        <v>7</v>
      </c>
      <c r="G134" s="1">
        <v>27</v>
      </c>
      <c r="H134" s="1">
        <v>7</v>
      </c>
      <c r="U134" s="1">
        <v>-5</v>
      </c>
      <c r="V134" s="1">
        <v>7</v>
      </c>
      <c r="AA134" s="1">
        <v>43</v>
      </c>
      <c r="AB134" s="1">
        <v>7</v>
      </c>
      <c r="CG134" s="10"/>
      <c r="CH134" s="1" t="s">
        <v>12</v>
      </c>
      <c r="CJ134" s="1">
        <v>6</v>
      </c>
      <c r="CK134" s="1" t="str">
        <v>Tom</v>
      </c>
      <c r="CL134" s="1" t="str">
        <v>5.938</v>
      </c>
      <c r="CM134" s="1">
        <v>357</v>
      </c>
      <c r="CO134" s="1">
        <v>6</v>
      </c>
      <c r="CP134" s="1" t="str">
        <v>Maxime_Go</v>
      </c>
      <c r="CQ134" s="1" t="str">
        <v>0.727</v>
      </c>
      <c r="CR134" s="1">
        <v>11</v>
      </c>
      <c r="CT134" s="1" t="str">
        <v>Samuel</v>
      </c>
      <c r="CU134" s="1">
        <v>5.9099526066350707</v>
      </c>
    </row>
    <row r="135" spans="1:99" x14ac:dyDescent="0.3">
      <c r="A135" s="1" t="s">
        <v>7</v>
      </c>
      <c r="B135" s="1">
        <v>72</v>
      </c>
      <c r="C135" s="1">
        <v>11</v>
      </c>
      <c r="D135" s="1">
        <v>1</v>
      </c>
      <c r="G135" s="1">
        <v>11</v>
      </c>
      <c r="H135" s="1">
        <v>1</v>
      </c>
      <c r="M135" s="1">
        <v>-11</v>
      </c>
      <c r="N135" s="1">
        <v>1</v>
      </c>
      <c r="U135" s="1">
        <v>-11</v>
      </c>
      <c r="V135" s="1">
        <v>1</v>
      </c>
      <c r="CG135" s="6"/>
      <c r="CH135" s="1" t="s">
        <v>11</v>
      </c>
      <c r="CJ135" s="1">
        <v>7</v>
      </c>
      <c r="CK135" s="1" t="str">
        <v>Samuel</v>
      </c>
      <c r="CL135" s="1" t="str">
        <v>5.910</v>
      </c>
      <c r="CM135" s="1">
        <v>211</v>
      </c>
      <c r="CO135" s="1">
        <v>7</v>
      </c>
      <c r="CP135" s="1" t="str">
        <v>Robin</v>
      </c>
      <c r="CQ135" s="1" t="str">
        <v>-0.083</v>
      </c>
      <c r="CR135" s="1">
        <v>12</v>
      </c>
      <c r="CT135" s="1" t="str">
        <v>Joachim</v>
      </c>
      <c r="CU135" s="1">
        <v>5.8899082568807337</v>
      </c>
    </row>
    <row r="136" spans="1:99" x14ac:dyDescent="0.3">
      <c r="A136" s="1" t="s">
        <v>7</v>
      </c>
      <c r="B136" s="1">
        <v>71</v>
      </c>
      <c r="C136" s="1">
        <v>31</v>
      </c>
      <c r="D136" s="1">
        <v>5</v>
      </c>
      <c r="G136" s="1">
        <v>25</v>
      </c>
      <c r="H136" s="1">
        <v>5</v>
      </c>
      <c r="U136" s="1">
        <v>41</v>
      </c>
      <c r="V136" s="1">
        <v>5</v>
      </c>
      <c r="AW136" s="1">
        <v>14</v>
      </c>
      <c r="AX136" s="1">
        <v>5</v>
      </c>
      <c r="CJ136" s="1">
        <v>8</v>
      </c>
      <c r="CK136" s="1" t="str">
        <v>Joachim</v>
      </c>
      <c r="CL136" s="1" t="str">
        <v>5.890</v>
      </c>
      <c r="CM136" s="1">
        <v>109</v>
      </c>
      <c r="CT136" s="1" t="str">
        <v>Mehdi</v>
      </c>
      <c r="CU136" s="1">
        <v>5.5956043956043953</v>
      </c>
    </row>
    <row r="137" spans="1:99" x14ac:dyDescent="0.3">
      <c r="A137" s="15" t="s">
        <v>7</v>
      </c>
      <c r="B137" s="15">
        <v>70</v>
      </c>
      <c r="C137" s="15">
        <v>79</v>
      </c>
      <c r="D137" s="15">
        <v>16</v>
      </c>
      <c r="E137" s="15">
        <v>99</v>
      </c>
      <c r="F137" s="15">
        <v>16</v>
      </c>
      <c r="G137" s="15">
        <v>139</v>
      </c>
      <c r="H137" s="15">
        <v>16</v>
      </c>
      <c r="I137" s="15"/>
      <c r="J137" s="15"/>
      <c r="K137" s="15"/>
      <c r="L137" s="15"/>
      <c r="M137" s="15">
        <v>4</v>
      </c>
      <c r="N137" s="15">
        <v>4</v>
      </c>
      <c r="O137" s="15"/>
      <c r="P137" s="15"/>
      <c r="Q137" s="15"/>
      <c r="R137" s="15"/>
      <c r="S137" s="15"/>
      <c r="T137" s="15"/>
      <c r="U137" s="15"/>
      <c r="V137" s="15"/>
      <c r="W137" s="15">
        <v>-9</v>
      </c>
      <c r="X137" s="15">
        <v>16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CG137" s="7"/>
      <c r="CH137" s="1" t="s">
        <v>14</v>
      </c>
      <c r="CJ137" s="1">
        <v>9</v>
      </c>
      <c r="CK137" s="1" t="str">
        <v>Mehdi</v>
      </c>
      <c r="CL137" s="1" t="str">
        <v>5.596</v>
      </c>
      <c r="CM137" s="1">
        <v>455</v>
      </c>
      <c r="CT137" s="1" t="str">
        <v>Damien</v>
      </c>
      <c r="CU137" s="1">
        <v>5.4638554216867474</v>
      </c>
    </row>
    <row r="138" spans="1:99" x14ac:dyDescent="0.3">
      <c r="A138" s="15" t="s">
        <v>7</v>
      </c>
      <c r="B138" s="15">
        <v>69</v>
      </c>
      <c r="C138" s="15">
        <v>80</v>
      </c>
      <c r="D138" s="15">
        <v>12</v>
      </c>
      <c r="E138" s="15">
        <v>97</v>
      </c>
      <c r="F138" s="15">
        <v>12</v>
      </c>
      <c r="G138" s="15">
        <v>43</v>
      </c>
      <c r="H138" s="15">
        <v>12</v>
      </c>
      <c r="I138" s="15"/>
      <c r="J138" s="15"/>
      <c r="K138" s="15"/>
      <c r="L138" s="15"/>
      <c r="M138" s="15">
        <v>59</v>
      </c>
      <c r="N138" s="15">
        <v>12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CG138" s="8"/>
      <c r="CH138" s="1" t="s">
        <v>13</v>
      </c>
      <c r="CJ138" s="1">
        <v>10</v>
      </c>
      <c r="CK138" s="1" t="str">
        <v>ethan</v>
      </c>
      <c r="CL138" s="1" t="str">
        <v>5.500</v>
      </c>
      <c r="CM138" s="1">
        <v>22</v>
      </c>
      <c r="CT138" s="1" t="str">
        <v>Achille</v>
      </c>
      <c r="CU138" s="1">
        <v>5.4508875739644971</v>
      </c>
    </row>
    <row r="139" spans="1:99" x14ac:dyDescent="0.3">
      <c r="A139" s="15" t="s">
        <v>7</v>
      </c>
      <c r="B139" s="15">
        <v>68</v>
      </c>
      <c r="C139" s="15">
        <v>50</v>
      </c>
      <c r="D139" s="15">
        <v>8</v>
      </c>
      <c r="E139" s="15">
        <v>39</v>
      </c>
      <c r="F139" s="15">
        <v>8</v>
      </c>
      <c r="G139" s="15">
        <v>64</v>
      </c>
      <c r="H139" s="15">
        <v>8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>
        <v>6</v>
      </c>
      <c r="T139" s="15">
        <v>8</v>
      </c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CG139" s="9"/>
      <c r="CH139" s="1" t="s">
        <v>10</v>
      </c>
      <c r="CJ139" s="1">
        <v>11</v>
      </c>
      <c r="CK139" s="1" t="str">
        <v>Damien</v>
      </c>
      <c r="CL139" s="1" t="str">
        <v>5.464</v>
      </c>
      <c r="CM139" s="1">
        <v>830</v>
      </c>
      <c r="CT139" s="1" t="str">
        <v>Jules</v>
      </c>
      <c r="CU139" s="1">
        <v>5.3232044198895023</v>
      </c>
    </row>
    <row r="140" spans="1:99" x14ac:dyDescent="0.3">
      <c r="A140" s="15" t="s">
        <v>7</v>
      </c>
      <c r="B140" s="15">
        <v>67</v>
      </c>
      <c r="C140" s="15">
        <v>19</v>
      </c>
      <c r="D140" s="15">
        <v>3</v>
      </c>
      <c r="E140" s="15"/>
      <c r="F140" s="15"/>
      <c r="G140" s="15">
        <v>8</v>
      </c>
      <c r="H140" s="15">
        <v>3</v>
      </c>
      <c r="I140" s="15">
        <v>19</v>
      </c>
      <c r="J140" s="15">
        <v>3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>
        <v>8</v>
      </c>
      <c r="AT140" s="15">
        <v>3</v>
      </c>
      <c r="AU140" s="15"/>
      <c r="AV140" s="15"/>
      <c r="AW140" s="15"/>
      <c r="AX140" s="15"/>
      <c r="AY140" s="15"/>
      <c r="CJ140" s="1">
        <v>12</v>
      </c>
      <c r="CK140" s="1" t="str">
        <v>Achille</v>
      </c>
      <c r="CL140" s="1" t="str">
        <v>5.451</v>
      </c>
      <c r="CM140" s="1">
        <v>845</v>
      </c>
      <c r="CT140" s="1" t="str">
        <v>Joey</v>
      </c>
      <c r="CU140" s="1">
        <v>5.1698113207547172</v>
      </c>
    </row>
    <row r="141" spans="1:99" x14ac:dyDescent="0.3">
      <c r="A141" s="15" t="s">
        <v>7</v>
      </c>
      <c r="B141" s="15">
        <v>66</v>
      </c>
      <c r="C141" s="15">
        <v>13</v>
      </c>
      <c r="D141" s="15">
        <v>3</v>
      </c>
      <c r="E141" s="15"/>
      <c r="F141" s="15"/>
      <c r="G141" s="15">
        <v>54</v>
      </c>
      <c r="H141" s="15">
        <v>3</v>
      </c>
      <c r="I141" s="15">
        <v>0</v>
      </c>
      <c r="J141" s="15">
        <v>1</v>
      </c>
      <c r="K141" s="15"/>
      <c r="L141" s="15"/>
      <c r="M141" s="15">
        <v>17</v>
      </c>
      <c r="N141" s="15">
        <v>3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>
        <v>0</v>
      </c>
      <c r="AF141" s="15">
        <v>2</v>
      </c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CG141" s="1" t="s">
        <v>1</v>
      </c>
      <c r="CH141" s="1">
        <f>AVERAGE(C1:CD1)</f>
        <v>5.2034280184292925</v>
      </c>
      <c r="CJ141" s="1">
        <v>13</v>
      </c>
      <c r="CK141" s="1" t="str">
        <v>Bruno</v>
      </c>
      <c r="CL141" s="1" t="str">
        <v>5.400</v>
      </c>
      <c r="CM141" s="1">
        <v>20</v>
      </c>
      <c r="CT141" s="1" t="str">
        <v>Marie</v>
      </c>
      <c r="CU141" s="1">
        <v>4.8519021739130439</v>
      </c>
    </row>
    <row r="142" spans="1:99" x14ac:dyDescent="0.3">
      <c r="A142" s="15" t="s">
        <v>7</v>
      </c>
      <c r="B142" s="15">
        <v>65</v>
      </c>
      <c r="C142" s="15"/>
      <c r="D142" s="15"/>
      <c r="E142" s="15"/>
      <c r="F142" s="15"/>
      <c r="G142" s="15">
        <v>70</v>
      </c>
      <c r="H142" s="15">
        <v>8</v>
      </c>
      <c r="I142" s="15">
        <v>-9</v>
      </c>
      <c r="J142" s="15">
        <v>8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>
        <v>81</v>
      </c>
      <c r="V142" s="15">
        <v>8</v>
      </c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>
        <v>0</v>
      </c>
      <c r="AT142" s="15">
        <v>8</v>
      </c>
      <c r="AU142" s="15"/>
      <c r="AV142" s="15"/>
      <c r="AW142" s="15"/>
      <c r="AX142" s="15"/>
      <c r="AY142" s="15"/>
      <c r="CJ142" s="1">
        <v>14</v>
      </c>
      <c r="CK142" s="1" t="str">
        <v>gaspard</v>
      </c>
      <c r="CL142" s="1" t="str">
        <v>5.342</v>
      </c>
      <c r="CM142" s="1">
        <v>76</v>
      </c>
      <c r="CT142" s="1" t="str">
        <v>Paul</v>
      </c>
      <c r="CU142" s="1">
        <v>4.8125</v>
      </c>
    </row>
    <row r="143" spans="1:99" x14ac:dyDescent="0.3">
      <c r="A143" s="15" t="s">
        <v>23</v>
      </c>
      <c r="B143" s="15">
        <v>64</v>
      </c>
      <c r="C143" s="15">
        <v>38</v>
      </c>
      <c r="D143" s="15">
        <v>7</v>
      </c>
      <c r="E143" s="15">
        <v>96</v>
      </c>
      <c r="F143" s="15">
        <v>8</v>
      </c>
      <c r="G143" s="15">
        <v>38</v>
      </c>
      <c r="H143" s="15">
        <v>8</v>
      </c>
      <c r="I143" s="15">
        <v>25</v>
      </c>
      <c r="J143" s="15">
        <v>8</v>
      </c>
      <c r="K143" s="15"/>
      <c r="L143" s="15"/>
      <c r="M143" s="15"/>
      <c r="N143" s="15"/>
      <c r="O143" s="15"/>
      <c r="P143" s="15"/>
      <c r="Q143" s="15">
        <v>25</v>
      </c>
      <c r="R143" s="15">
        <v>5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CJ143" s="1">
        <v>15</v>
      </c>
      <c r="CK143" s="1" t="str">
        <v>Jules</v>
      </c>
      <c r="CL143" s="1" t="str">
        <v>5.323</v>
      </c>
      <c r="CM143" s="1">
        <v>362</v>
      </c>
      <c r="CT143" s="1" t="str">
        <v>Lou</v>
      </c>
      <c r="CU143" s="1">
        <v>4.759615384615385</v>
      </c>
    </row>
    <row r="144" spans="1:99" x14ac:dyDescent="0.3">
      <c r="A144" s="15" t="s">
        <v>23</v>
      </c>
      <c r="B144" s="15">
        <v>63</v>
      </c>
      <c r="C144" s="15">
        <v>13</v>
      </c>
      <c r="D144" s="15">
        <v>1</v>
      </c>
      <c r="E144" s="15"/>
      <c r="F144" s="15"/>
      <c r="G144" s="15"/>
      <c r="H144" s="15"/>
      <c r="I144" s="15">
        <v>0</v>
      </c>
      <c r="J144" s="15">
        <v>1</v>
      </c>
      <c r="K144" s="15"/>
      <c r="L144" s="15"/>
      <c r="M144" s="15"/>
      <c r="N144" s="15"/>
      <c r="O144" s="15"/>
      <c r="P144" s="15"/>
      <c r="Q144" s="15">
        <v>13</v>
      </c>
      <c r="R144" s="15">
        <v>1</v>
      </c>
      <c r="S144" s="15"/>
      <c r="T144" s="15"/>
      <c r="U144" s="15"/>
      <c r="V144" s="15"/>
      <c r="W144" s="15">
        <v>0</v>
      </c>
      <c r="X144" s="15">
        <v>1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CH144" s="1" t="s">
        <v>15</v>
      </c>
      <c r="CJ144" s="1">
        <v>16</v>
      </c>
      <c r="CK144" s="1" t="str">
        <v>Hugo</v>
      </c>
      <c r="CL144" s="1" t="str">
        <v>5.225</v>
      </c>
      <c r="CM144" s="1">
        <v>40</v>
      </c>
      <c r="CT144" s="1" t="str">
        <v>Émile</v>
      </c>
      <c r="CU144" s="1">
        <v>4.5</v>
      </c>
    </row>
    <row r="145" spans="1:99" x14ac:dyDescent="0.3">
      <c r="A145" s="15" t="s">
        <v>7</v>
      </c>
      <c r="B145" s="15">
        <v>62</v>
      </c>
      <c r="C145" s="15">
        <v>118</v>
      </c>
      <c r="D145" s="15">
        <v>24</v>
      </c>
      <c r="E145" s="15">
        <v>103</v>
      </c>
      <c r="F145" s="15">
        <v>24</v>
      </c>
      <c r="G145" s="15">
        <v>102</v>
      </c>
      <c r="H145" s="15">
        <v>24</v>
      </c>
      <c r="I145" s="15">
        <v>0</v>
      </c>
      <c r="J145" s="15">
        <v>4</v>
      </c>
      <c r="K145" s="15"/>
      <c r="L145" s="15"/>
      <c r="M145" s="15"/>
      <c r="N145" s="15"/>
      <c r="O145" s="15">
        <v>225</v>
      </c>
      <c r="P145" s="15">
        <v>23</v>
      </c>
      <c r="Q145" s="15"/>
      <c r="R145" s="15"/>
      <c r="S145" s="15"/>
      <c r="T145" s="15"/>
      <c r="U145" s="15"/>
      <c r="V145" s="15"/>
      <c r="W145" s="15">
        <v>11</v>
      </c>
      <c r="X145" s="15">
        <v>1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CG145" s="11"/>
      <c r="CH145" s="1" t="s">
        <v>38</v>
      </c>
      <c r="CJ145" s="1">
        <v>17</v>
      </c>
      <c r="CK145" s="1" t="str">
        <v>Joey</v>
      </c>
      <c r="CL145" s="1" t="str">
        <v>5.170</v>
      </c>
      <c r="CM145" s="1">
        <v>106</v>
      </c>
      <c r="CT145" s="1" t="str">
        <v>Stanislas</v>
      </c>
      <c r="CU145" s="1">
        <v>4.4814814814814818</v>
      </c>
    </row>
    <row r="146" spans="1:99" x14ac:dyDescent="0.3">
      <c r="A146" s="15" t="s">
        <v>7</v>
      </c>
      <c r="B146" s="15">
        <v>61</v>
      </c>
      <c r="C146" s="15"/>
      <c r="D146" s="15"/>
      <c r="E146" s="15">
        <v>11</v>
      </c>
      <c r="F146" s="15">
        <v>4</v>
      </c>
      <c r="G146" s="15"/>
      <c r="H146" s="15"/>
      <c r="I146" s="15"/>
      <c r="J146" s="15"/>
      <c r="K146" s="15"/>
      <c r="L146" s="15"/>
      <c r="M146" s="15">
        <v>46</v>
      </c>
      <c r="N146" s="15">
        <v>4</v>
      </c>
      <c r="O146" s="15">
        <v>45</v>
      </c>
      <c r="P146" s="15">
        <v>4</v>
      </c>
      <c r="Q146" s="15">
        <v>0</v>
      </c>
      <c r="R146" s="15">
        <v>4</v>
      </c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CG146" s="14"/>
      <c r="CH146" s="1" t="s">
        <v>17</v>
      </c>
      <c r="CJ146" s="1">
        <v>18</v>
      </c>
      <c r="CK146" s="1" t="str">
        <v>Marie</v>
      </c>
      <c r="CL146" s="1" t="str">
        <v>4.852</v>
      </c>
      <c r="CM146" s="1">
        <v>368</v>
      </c>
      <c r="CT146" s="1" t="str">
        <v>Quentin</v>
      </c>
      <c r="CU146" s="1">
        <v>4.096774193548387</v>
      </c>
    </row>
    <row r="147" spans="1:99" x14ac:dyDescent="0.3">
      <c r="A147" s="15" t="s">
        <v>7</v>
      </c>
      <c r="B147" s="15">
        <v>60</v>
      </c>
      <c r="C147" s="15">
        <v>106</v>
      </c>
      <c r="D147" s="15">
        <v>12</v>
      </c>
      <c r="E147" s="15"/>
      <c r="F147" s="15"/>
      <c r="G147" s="15">
        <v>88</v>
      </c>
      <c r="H147" s="15">
        <v>12</v>
      </c>
      <c r="I147" s="15"/>
      <c r="J147" s="15"/>
      <c r="K147" s="15"/>
      <c r="L147" s="15"/>
      <c r="M147" s="15">
        <v>31</v>
      </c>
      <c r="N147" s="15">
        <v>12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>
        <v>8</v>
      </c>
      <c r="AD147" s="15">
        <v>4</v>
      </c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>
        <v>-1</v>
      </c>
      <c r="AP147" s="15">
        <v>12</v>
      </c>
      <c r="AQ147" s="15"/>
      <c r="AR147" s="15"/>
      <c r="AS147" s="15"/>
      <c r="AT147" s="15"/>
      <c r="AU147" s="15"/>
      <c r="AV147" s="15"/>
      <c r="AW147" s="15"/>
      <c r="AX147" s="15"/>
      <c r="AY147" s="15"/>
      <c r="CG147" s="13"/>
      <c r="CH147" s="1" t="s">
        <v>18</v>
      </c>
      <c r="CJ147" s="1">
        <v>19</v>
      </c>
      <c r="CK147" s="1" t="str">
        <v>Paul</v>
      </c>
      <c r="CL147" s="1" t="str">
        <v>4.813</v>
      </c>
      <c r="CM147" s="1">
        <v>32</v>
      </c>
      <c r="CT147" s="1" t="str">
        <v>Loulou</v>
      </c>
      <c r="CU147" s="1">
        <v>3.7168141592920354</v>
      </c>
    </row>
    <row r="148" spans="1:99" x14ac:dyDescent="0.3">
      <c r="A148" s="15" t="s">
        <v>7</v>
      </c>
      <c r="B148" s="15">
        <v>59</v>
      </c>
      <c r="C148" s="15"/>
      <c r="D148" s="15"/>
      <c r="E148" s="15">
        <v>129</v>
      </c>
      <c r="F148" s="15">
        <v>10</v>
      </c>
      <c r="G148" s="15"/>
      <c r="H148" s="15"/>
      <c r="I148" s="15">
        <v>17</v>
      </c>
      <c r="J148" s="15">
        <v>10</v>
      </c>
      <c r="K148" s="15">
        <v>-41</v>
      </c>
      <c r="L148" s="15">
        <v>10</v>
      </c>
      <c r="M148" s="15">
        <v>62</v>
      </c>
      <c r="N148" s="15">
        <v>10</v>
      </c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CG148" s="12"/>
      <c r="CH148" s="1" t="s">
        <v>16</v>
      </c>
      <c r="CJ148" s="1">
        <v>20</v>
      </c>
      <c r="CK148" s="1" t="str">
        <v>Lou</v>
      </c>
      <c r="CL148" s="1" t="str">
        <v>4.760</v>
      </c>
      <c r="CM148" s="1">
        <v>208</v>
      </c>
      <c r="CT148" s="1" t="str">
        <v>Fantinne</v>
      </c>
      <c r="CU148" s="1">
        <v>3.6440677966101696</v>
      </c>
    </row>
    <row r="149" spans="1:99" x14ac:dyDescent="0.3">
      <c r="A149" s="15" t="s">
        <v>7</v>
      </c>
      <c r="B149" s="15">
        <v>58</v>
      </c>
      <c r="C149" s="15"/>
      <c r="D149" s="15"/>
      <c r="E149" s="15">
        <v>49</v>
      </c>
      <c r="F149" s="15">
        <v>14</v>
      </c>
      <c r="G149" s="15">
        <v>60</v>
      </c>
      <c r="H149" s="15">
        <v>14</v>
      </c>
      <c r="I149" s="15">
        <v>94</v>
      </c>
      <c r="J149" s="15">
        <v>14</v>
      </c>
      <c r="K149" s="15"/>
      <c r="L149" s="15"/>
      <c r="M149" s="15"/>
      <c r="N149" s="15"/>
      <c r="O149" s="15"/>
      <c r="P149" s="15"/>
      <c r="Q149" s="15">
        <v>70</v>
      </c>
      <c r="R149" s="15">
        <v>14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CJ149" s="1">
        <v>21</v>
      </c>
      <c r="CK149" s="1" t="str">
        <v>Émile</v>
      </c>
      <c r="CL149" s="1" t="str">
        <v>4.500</v>
      </c>
      <c r="CM149" s="1">
        <v>28</v>
      </c>
      <c r="CT149" s="1" t="str">
        <v>Luca</v>
      </c>
      <c r="CU149" s="1">
        <v>3.2315789473684209</v>
      </c>
    </row>
    <row r="150" spans="1:99" x14ac:dyDescent="0.3">
      <c r="A150" s="15" t="s">
        <v>7</v>
      </c>
      <c r="B150" s="15">
        <v>57</v>
      </c>
      <c r="C150" s="15"/>
      <c r="D150" s="15"/>
      <c r="E150" s="15">
        <v>67</v>
      </c>
      <c r="F150" s="15">
        <v>4</v>
      </c>
      <c r="G150" s="15">
        <v>36</v>
      </c>
      <c r="H150" s="15">
        <v>4</v>
      </c>
      <c r="I150" s="15">
        <v>16</v>
      </c>
      <c r="J150" s="15">
        <v>2</v>
      </c>
      <c r="K150" s="15"/>
      <c r="L150" s="15"/>
      <c r="M150" s="15">
        <v>-24</v>
      </c>
      <c r="N150" s="15">
        <v>3</v>
      </c>
      <c r="O150" s="15"/>
      <c r="P150" s="15"/>
      <c r="Q150" s="15">
        <v>31</v>
      </c>
      <c r="R150" s="15">
        <v>3</v>
      </c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CJ150" s="1">
        <v>22</v>
      </c>
      <c r="CK150" s="1" t="str">
        <v>Stanislas</v>
      </c>
      <c r="CL150" s="1" t="str">
        <v>4.481</v>
      </c>
      <c r="CM150" s="1">
        <v>27</v>
      </c>
      <c r="CT150" s="1" t="str">
        <v>Harrison</v>
      </c>
      <c r="CU150" s="1" t="str">
        <v>/</v>
      </c>
    </row>
    <row r="151" spans="1:99" x14ac:dyDescent="0.3">
      <c r="A151" s="15" t="s">
        <v>7</v>
      </c>
      <c r="B151" s="15">
        <v>56</v>
      </c>
      <c r="C151" s="15"/>
      <c r="D151" s="15"/>
      <c r="E151" s="15"/>
      <c r="F151" s="15"/>
      <c r="G151" s="15">
        <v>66</v>
      </c>
      <c r="H151" s="15">
        <v>8</v>
      </c>
      <c r="I151" s="15"/>
      <c r="J151" s="15"/>
      <c r="K151" s="15"/>
      <c r="L151" s="15"/>
      <c r="M151" s="15">
        <v>50</v>
      </c>
      <c r="N151" s="15">
        <v>8</v>
      </c>
      <c r="O151" s="15"/>
      <c r="P151" s="15"/>
      <c r="Q151" s="15">
        <v>73</v>
      </c>
      <c r="R151" s="15">
        <v>8</v>
      </c>
      <c r="S151" s="15">
        <v>27</v>
      </c>
      <c r="T151" s="15">
        <v>8</v>
      </c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>
        <v>21</v>
      </c>
      <c r="AN151" s="15">
        <v>8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CJ151" s="1">
        <v>23</v>
      </c>
      <c r="CK151" s="1" t="str">
        <v>Quentin</v>
      </c>
      <c r="CL151" s="1" t="str">
        <v>4.097</v>
      </c>
      <c r="CM151" s="1">
        <v>93</v>
      </c>
      <c r="CT151" s="1" t="str">
        <v>Pascale</v>
      </c>
      <c r="CU151" s="1" t="str">
        <v>/</v>
      </c>
    </row>
    <row r="152" spans="1:99" x14ac:dyDescent="0.3">
      <c r="A152" s="15" t="s">
        <v>25</v>
      </c>
      <c r="B152" s="15" t="s">
        <v>26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CJ152" s="1">
        <v>24</v>
      </c>
      <c r="CK152" s="1" t="str">
        <v>Loulou</v>
      </c>
      <c r="CL152" s="1" t="str">
        <v>3.717</v>
      </c>
      <c r="CM152" s="1">
        <v>113</v>
      </c>
      <c r="CT152" s="1" t="str">
        <v>Robin</v>
      </c>
      <c r="CU152" s="1" t="str">
        <v>/</v>
      </c>
    </row>
    <row r="153" spans="1:99" x14ac:dyDescent="0.3">
      <c r="A153" s="15" t="s">
        <v>7</v>
      </c>
      <c r="B153" s="15">
        <v>55</v>
      </c>
      <c r="C153" s="15">
        <v>100</v>
      </c>
      <c r="D153" s="15">
        <v>16</v>
      </c>
      <c r="E153" s="15"/>
      <c r="F153" s="15"/>
      <c r="G153" s="15">
        <v>188</v>
      </c>
      <c r="H153" s="15">
        <v>16</v>
      </c>
      <c r="I153" s="15"/>
      <c r="J153" s="15"/>
      <c r="K153" s="15"/>
      <c r="L153" s="15"/>
      <c r="M153" s="15">
        <v>34</v>
      </c>
      <c r="N153" s="15">
        <v>16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>
        <v>60</v>
      </c>
      <c r="AR153" s="15">
        <v>16</v>
      </c>
      <c r="AS153" s="15"/>
      <c r="AT153" s="15"/>
      <c r="AU153" s="15"/>
      <c r="AV153" s="15"/>
      <c r="AW153" s="15"/>
      <c r="AX153" s="15"/>
      <c r="AY153" s="15"/>
      <c r="CJ153" s="1">
        <v>25</v>
      </c>
      <c r="CK153" s="1" t="str">
        <v>Fantinne</v>
      </c>
      <c r="CL153" s="1" t="str">
        <v>3.644</v>
      </c>
      <c r="CM153" s="1">
        <v>59</v>
      </c>
      <c r="CT153" s="1" t="str">
        <v>Maxime_Go</v>
      </c>
      <c r="CU153" s="1" t="str">
        <v>/</v>
      </c>
    </row>
    <row r="154" spans="1:99" x14ac:dyDescent="0.3">
      <c r="A154" s="15" t="s">
        <v>7</v>
      </c>
      <c r="B154" s="15">
        <v>54</v>
      </c>
      <c r="C154" s="15">
        <v>23</v>
      </c>
      <c r="D154" s="15">
        <v>5</v>
      </c>
      <c r="E154" s="15">
        <v>29</v>
      </c>
      <c r="F154" s="15">
        <v>6</v>
      </c>
      <c r="G154" s="15">
        <v>25</v>
      </c>
      <c r="H154" s="15">
        <v>5</v>
      </c>
      <c r="I154" s="15">
        <v>42</v>
      </c>
      <c r="J154" s="15">
        <v>6</v>
      </c>
      <c r="K154" s="15"/>
      <c r="L154" s="15"/>
      <c r="M154" s="15">
        <v>-14</v>
      </c>
      <c r="N154" s="15">
        <v>2</v>
      </c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CJ154" s="1">
        <v>26</v>
      </c>
      <c r="CK154" s="1" t="str">
        <v>Thomas</v>
      </c>
      <c r="CL154" s="1" t="str">
        <v>3.357</v>
      </c>
      <c r="CM154" s="1">
        <v>28</v>
      </c>
      <c r="CT154" s="1" t="str">
        <v>Maxime_Ca</v>
      </c>
      <c r="CU154" s="1" t="str">
        <v>/</v>
      </c>
    </row>
    <row r="155" spans="1:99" x14ac:dyDescent="0.3">
      <c r="A155" s="15" t="s">
        <v>7</v>
      </c>
      <c r="B155" s="15">
        <v>53</v>
      </c>
      <c r="C155" s="15">
        <v>45</v>
      </c>
      <c r="D155" s="15">
        <v>8</v>
      </c>
      <c r="E155" s="15"/>
      <c r="F155" s="15"/>
      <c r="G155" s="15">
        <v>68</v>
      </c>
      <c r="H155" s="15">
        <v>8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>
        <v>-4</v>
      </c>
      <c r="AB155" s="15">
        <v>8</v>
      </c>
      <c r="AC155" s="15"/>
      <c r="AD155" s="15"/>
      <c r="AE155" s="15"/>
      <c r="AF155" s="15"/>
      <c r="AG155" s="15">
        <v>91</v>
      </c>
      <c r="AH155" s="15">
        <v>8</v>
      </c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CJ155" s="1">
        <v>27</v>
      </c>
      <c r="CK155" s="1" t="str">
        <v>Luca</v>
      </c>
      <c r="CL155" s="1" t="str">
        <v>3.232</v>
      </c>
      <c r="CM155" s="1">
        <v>190</v>
      </c>
      <c r="CT155" s="1" t="str">
        <v>Aurélien</v>
      </c>
      <c r="CU155" s="1" t="str">
        <v>/</v>
      </c>
    </row>
    <row r="156" spans="1:99" x14ac:dyDescent="0.3">
      <c r="A156" s="15" t="s">
        <v>7</v>
      </c>
      <c r="B156" s="15">
        <v>52</v>
      </c>
      <c r="C156" s="15"/>
      <c r="D156" s="15"/>
      <c r="E156" s="15"/>
      <c r="F156" s="15"/>
      <c r="G156" s="15">
        <v>94</v>
      </c>
      <c r="H156" s="15">
        <v>16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>
        <v>42</v>
      </c>
      <c r="V156" s="15">
        <v>16</v>
      </c>
      <c r="W156" s="15"/>
      <c r="X156" s="15"/>
      <c r="Y156" s="15"/>
      <c r="Z156" s="15"/>
      <c r="AA156" s="15">
        <v>75</v>
      </c>
      <c r="AB156" s="15">
        <v>16</v>
      </c>
      <c r="AC156" s="15"/>
      <c r="AD156" s="15"/>
      <c r="AE156" s="15"/>
      <c r="AF156" s="15"/>
      <c r="AG156" s="15">
        <v>64</v>
      </c>
      <c r="AH156" s="15">
        <v>16</v>
      </c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CT156" s="1" t="str">
        <v>Amélie</v>
      </c>
      <c r="CU156" s="1" t="str">
        <v>/</v>
      </c>
    </row>
    <row r="157" spans="1:99" x14ac:dyDescent="0.3">
      <c r="A157" s="15" t="s">
        <v>7</v>
      </c>
      <c r="B157" s="15">
        <v>51</v>
      </c>
      <c r="C157" s="15">
        <v>37</v>
      </c>
      <c r="D157" s="15">
        <v>14</v>
      </c>
      <c r="E157" s="15"/>
      <c r="F157" s="15"/>
      <c r="G157" s="15">
        <v>105</v>
      </c>
      <c r="H157" s="15">
        <v>14</v>
      </c>
      <c r="I157" s="15"/>
      <c r="J157" s="15"/>
      <c r="K157" s="15"/>
      <c r="L157" s="15"/>
      <c r="M157" s="15">
        <v>84</v>
      </c>
      <c r="N157" s="15">
        <v>14</v>
      </c>
      <c r="O157" s="15"/>
      <c r="P157" s="15"/>
      <c r="Q157" s="15"/>
      <c r="R157" s="15"/>
      <c r="S157" s="15">
        <v>91</v>
      </c>
      <c r="T157" s="15">
        <v>14</v>
      </c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99" x14ac:dyDescent="0.3">
      <c r="A158" s="15" t="s">
        <v>7</v>
      </c>
      <c r="B158" s="15">
        <v>50</v>
      </c>
      <c r="C158" s="15">
        <v>32</v>
      </c>
      <c r="D158" s="15">
        <v>7</v>
      </c>
      <c r="E158" s="15"/>
      <c r="F158" s="15"/>
      <c r="G158" s="15">
        <v>50</v>
      </c>
      <c r="H158" s="15">
        <v>7</v>
      </c>
      <c r="I158" s="15"/>
      <c r="J158" s="15"/>
      <c r="K158" s="15"/>
      <c r="L158" s="15"/>
      <c r="M158" s="15">
        <v>40</v>
      </c>
      <c r="N158" s="15">
        <v>7</v>
      </c>
      <c r="O158" s="15"/>
      <c r="P158" s="15"/>
      <c r="Q158" s="15"/>
      <c r="R158" s="15"/>
      <c r="S158" s="15">
        <v>38</v>
      </c>
      <c r="T158" s="15">
        <v>7</v>
      </c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99" x14ac:dyDescent="0.3">
      <c r="A159" s="15" t="s">
        <v>7</v>
      </c>
      <c r="B159" s="15">
        <v>49</v>
      </c>
      <c r="C159" s="15">
        <v>47</v>
      </c>
      <c r="D159" s="15">
        <v>9</v>
      </c>
      <c r="E159" s="15"/>
      <c r="F159" s="15"/>
      <c r="G159" s="15">
        <v>94</v>
      </c>
      <c r="H159" s="15">
        <v>9</v>
      </c>
      <c r="I159" s="15"/>
      <c r="J159" s="15"/>
      <c r="K159" s="15">
        <v>13</v>
      </c>
      <c r="L159" s="15">
        <v>2</v>
      </c>
      <c r="M159" s="15">
        <v>47</v>
      </c>
      <c r="N159" s="15">
        <v>7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>
        <v>14</v>
      </c>
      <c r="AB159" s="15">
        <v>9</v>
      </c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99" x14ac:dyDescent="0.3">
      <c r="A160" s="15" t="s">
        <v>7</v>
      </c>
      <c r="B160" s="15">
        <v>48</v>
      </c>
      <c r="C160" s="15">
        <v>90</v>
      </c>
      <c r="D160" s="15">
        <v>7</v>
      </c>
      <c r="E160" s="15"/>
      <c r="F160" s="15"/>
      <c r="G160" s="15">
        <v>48</v>
      </c>
      <c r="H160" s="15">
        <v>7</v>
      </c>
      <c r="I160" s="15"/>
      <c r="J160" s="15"/>
      <c r="K160" s="15"/>
      <c r="L160" s="15"/>
      <c r="M160" s="15">
        <v>1</v>
      </c>
      <c r="N160" s="15">
        <v>7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>
        <v>-4</v>
      </c>
      <c r="AB160" s="15">
        <v>7</v>
      </c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101" x14ac:dyDescent="0.3">
      <c r="A161" s="15" t="s">
        <v>7</v>
      </c>
      <c r="B161" s="15">
        <v>47</v>
      </c>
      <c r="C161" s="15">
        <v>87</v>
      </c>
      <c r="D161" s="15">
        <v>5</v>
      </c>
      <c r="E161" s="15"/>
      <c r="F161" s="15"/>
      <c r="G161" s="15">
        <v>11</v>
      </c>
      <c r="H161" s="15">
        <v>5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>
        <v>21</v>
      </c>
      <c r="V161" s="15">
        <v>5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>
        <v>21</v>
      </c>
      <c r="AH161" s="15">
        <v>5</v>
      </c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CT161" s="1" cm="1">
        <f t="array" ref="CT161:CW181">_xlfn.LET(
  _xlpm.cols_impairs, _xlfn.SEQUENCE(1,COLUMNS(C1:BF1)/2,1,2),
  _xlpm.cols_pairs,   _xlfn.SEQUENCE(1,COLUMNS(C2:BF2)/2,2,2),
  _xlpm.noms,     TRANSPOSE(INDEX(C9:BF9,,_xlpm.cols_impairs)),
  _xlpm.moy,      TRANSPOSE(INDEX(C1:BF1,,_xlpm.cols_impairs)),
  _xlpm.parties,  TRANSPOSE(INDEX(C2:BF2,,_xlpm.cols_pairs)),
  _xlpm.ok, ISNUMBER(_xlpm.moy),
  _xlpm.nomsF,    _xlfn._xlws.FILTER(_xlpm.noms, _xlpm.ok),
  _xlpm.moyF,     _xlfn._xlws.FILTER(_xlpm.moy, _xlpm.ok),
  _xlpm.partF,    _xlfn._xlws.FILTER(_xlpm.parties, _xlpm.ok),
  _xlpm.T, _xlfn._xlws.SORT(CHOOSE({1,2,3}, _xlpm.nomsF, _xlpm.moyF, _xlpm.partF), 2, -1),
  CHOOSE({1,2,3,4},
          _xlfn.SEQUENCE(ROWS(_xlpm.T)),
          INDEX(_xlpm.T,,1),
          ROUND(INDEX(_xlpm.T,,2), 3),
          INDEX(_xlpm.T,,3))
)</f>
        <v>1</v>
      </c>
      <c r="CU161" s="1" t="str">
        <v>Boris</v>
      </c>
      <c r="CV161" s="1">
        <v>7.2</v>
      </c>
      <c r="CW161" s="1">
        <v>1275</v>
      </c>
    </row>
    <row r="162" spans="1:101" x14ac:dyDescent="0.3">
      <c r="A162" s="15" t="s">
        <v>7</v>
      </c>
      <c r="B162" s="15">
        <v>46</v>
      </c>
      <c r="C162" s="15">
        <v>29</v>
      </c>
      <c r="D162" s="15">
        <v>12</v>
      </c>
      <c r="E162" s="15"/>
      <c r="F162" s="15"/>
      <c r="G162" s="15">
        <v>78</v>
      </c>
      <c r="H162" s="15">
        <v>13</v>
      </c>
      <c r="I162" s="15"/>
      <c r="J162" s="15"/>
      <c r="K162" s="15">
        <v>93</v>
      </c>
      <c r="L162" s="15">
        <v>12</v>
      </c>
      <c r="M162" s="15">
        <v>32</v>
      </c>
      <c r="N162" s="15">
        <v>11</v>
      </c>
      <c r="O162" s="15"/>
      <c r="P162" s="15"/>
      <c r="Q162" s="15"/>
      <c r="R162" s="15"/>
      <c r="S162" s="15">
        <v>119</v>
      </c>
      <c r="T162" s="15">
        <v>12</v>
      </c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CT162" s="1">
        <v>2</v>
      </c>
      <c r="CU162" s="1" t="str">
        <v>Gauthier</v>
      </c>
      <c r="CV162" s="1">
        <v>6.609</v>
      </c>
      <c r="CW162" s="1">
        <v>115</v>
      </c>
    </row>
    <row r="163" spans="1:101" x14ac:dyDescent="0.3">
      <c r="A163" s="15" t="s">
        <v>7</v>
      </c>
      <c r="B163" s="15">
        <v>45</v>
      </c>
      <c r="C163" s="15">
        <v>102</v>
      </c>
      <c r="D163" s="15">
        <v>16</v>
      </c>
      <c r="E163" s="15"/>
      <c r="F163" s="15"/>
      <c r="G163" s="15">
        <v>138</v>
      </c>
      <c r="H163" s="15">
        <v>16</v>
      </c>
      <c r="I163" s="15"/>
      <c r="J163" s="15"/>
      <c r="K163" s="15">
        <v>51</v>
      </c>
      <c r="L163" s="15">
        <v>8</v>
      </c>
      <c r="M163" s="15">
        <v>5</v>
      </c>
      <c r="N163" s="15">
        <v>8</v>
      </c>
      <c r="O163" s="15"/>
      <c r="P163" s="15"/>
      <c r="Q163" s="15"/>
      <c r="R163" s="15"/>
      <c r="S163" s="15">
        <v>116</v>
      </c>
      <c r="T163" s="15">
        <v>16</v>
      </c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CT163" s="1">
        <v>3</v>
      </c>
      <c r="CU163" s="1" t="str">
        <v>Célian</v>
      </c>
      <c r="CV163" s="1">
        <v>6.2050000000000001</v>
      </c>
      <c r="CW163" s="1">
        <v>425</v>
      </c>
    </row>
    <row r="164" spans="1:101" x14ac:dyDescent="0.3">
      <c r="A164" s="15" t="s">
        <v>7</v>
      </c>
      <c r="B164" s="15">
        <v>44</v>
      </c>
      <c r="C164" s="15">
        <v>104</v>
      </c>
      <c r="D164" s="15">
        <v>20</v>
      </c>
      <c r="E164" s="15">
        <v>119</v>
      </c>
      <c r="F164" s="15">
        <v>20</v>
      </c>
      <c r="G164" s="15">
        <v>128</v>
      </c>
      <c r="H164" s="15">
        <v>20</v>
      </c>
      <c r="I164" s="15"/>
      <c r="J164" s="15"/>
      <c r="K164" s="15"/>
      <c r="L164" s="15"/>
      <c r="M164" s="15"/>
      <c r="N164" s="15"/>
      <c r="O164" s="15"/>
      <c r="P164" s="15"/>
      <c r="Q164" s="15">
        <v>143</v>
      </c>
      <c r="R164" s="15">
        <v>20</v>
      </c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CT164" s="1">
        <v>4</v>
      </c>
      <c r="CU164" s="1" t="str">
        <v>William</v>
      </c>
      <c r="CV164" s="1">
        <v>6.069</v>
      </c>
      <c r="CW164" s="1">
        <v>29</v>
      </c>
    </row>
    <row r="165" spans="1:101" x14ac:dyDescent="0.3">
      <c r="A165" s="15" t="s">
        <v>7</v>
      </c>
      <c r="B165" s="15">
        <v>43</v>
      </c>
      <c r="C165" s="15">
        <v>-16</v>
      </c>
      <c r="D165" s="15">
        <v>9</v>
      </c>
      <c r="E165" s="15"/>
      <c r="F165" s="15"/>
      <c r="G165" s="15">
        <v>94</v>
      </c>
      <c r="H165" s="15">
        <v>9</v>
      </c>
      <c r="I165" s="15"/>
      <c r="J165" s="15"/>
      <c r="K165" s="15"/>
      <c r="L165" s="15"/>
      <c r="M165" s="15">
        <v>58</v>
      </c>
      <c r="N165" s="15">
        <v>9</v>
      </c>
      <c r="O165" s="15"/>
      <c r="P165" s="15"/>
      <c r="Q165" s="15"/>
      <c r="R165" s="15"/>
      <c r="S165" s="15">
        <v>66</v>
      </c>
      <c r="T165" s="15">
        <v>9</v>
      </c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CT165" s="1">
        <v>5</v>
      </c>
      <c r="CU165" s="1" t="str">
        <v>Tom</v>
      </c>
      <c r="CV165" s="1">
        <v>5.9379999999999997</v>
      </c>
      <c r="CW165" s="1">
        <v>357</v>
      </c>
    </row>
    <row r="166" spans="1:101" x14ac:dyDescent="0.3">
      <c r="A166" s="15" t="s">
        <v>7</v>
      </c>
      <c r="B166" s="15">
        <v>42</v>
      </c>
      <c r="C166" s="15">
        <v>63</v>
      </c>
      <c r="D166" s="15">
        <v>13</v>
      </c>
      <c r="E166" s="15">
        <v>89</v>
      </c>
      <c r="F166" s="15">
        <v>13</v>
      </c>
      <c r="G166" s="15">
        <v>43</v>
      </c>
      <c r="H166" s="15">
        <v>13</v>
      </c>
      <c r="I166" s="15"/>
      <c r="J166" s="15"/>
      <c r="K166" s="15"/>
      <c r="L166" s="15"/>
      <c r="M166" s="15"/>
      <c r="N166" s="15"/>
      <c r="O166" s="15"/>
      <c r="P166" s="15"/>
      <c r="Q166" s="15">
        <v>60</v>
      </c>
      <c r="R166" s="15">
        <v>13</v>
      </c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CT166" s="1">
        <v>6</v>
      </c>
      <c r="CU166" s="1" t="str">
        <v>Samuel</v>
      </c>
      <c r="CV166" s="1">
        <v>5.91</v>
      </c>
      <c r="CW166" s="1">
        <v>211</v>
      </c>
    </row>
    <row r="167" spans="1:101" x14ac:dyDescent="0.3">
      <c r="A167" s="15" t="s">
        <v>7</v>
      </c>
      <c r="B167" s="15">
        <v>41</v>
      </c>
      <c r="C167" s="15">
        <v>16</v>
      </c>
      <c r="D167" s="15">
        <v>6</v>
      </c>
      <c r="E167" s="15">
        <v>16</v>
      </c>
      <c r="F167" s="15">
        <v>6</v>
      </c>
      <c r="G167" s="15">
        <v>21</v>
      </c>
      <c r="H167" s="15">
        <v>6</v>
      </c>
      <c r="I167" s="15">
        <v>40</v>
      </c>
      <c r="J167" s="15">
        <v>6</v>
      </c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CT167" s="1">
        <v>7</v>
      </c>
      <c r="CU167" s="1" t="str">
        <v>Joachim</v>
      </c>
      <c r="CV167" s="1">
        <v>5.89</v>
      </c>
      <c r="CW167" s="1">
        <v>109</v>
      </c>
    </row>
    <row r="168" spans="1:101" x14ac:dyDescent="0.3">
      <c r="A168" s="15" t="s">
        <v>7</v>
      </c>
      <c r="B168" s="15">
        <v>40</v>
      </c>
      <c r="C168" s="15">
        <v>58</v>
      </c>
      <c r="D168" s="15">
        <v>8</v>
      </c>
      <c r="E168" s="15">
        <v>22</v>
      </c>
      <c r="F168" s="15">
        <v>8</v>
      </c>
      <c r="G168" s="15">
        <v>62</v>
      </c>
      <c r="H168" s="15">
        <v>8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>
        <v>16</v>
      </c>
      <c r="AD168" s="15">
        <v>8</v>
      </c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>
        <v>22</v>
      </c>
      <c r="AZ168" s="15">
        <v>8</v>
      </c>
      <c r="CT168" s="1">
        <v>8</v>
      </c>
      <c r="CU168" s="1" t="str">
        <v>Mehdi</v>
      </c>
      <c r="CV168" s="1">
        <v>5.5960000000000001</v>
      </c>
      <c r="CW168" s="1">
        <v>455</v>
      </c>
    </row>
    <row r="169" spans="1:101" x14ac:dyDescent="0.3">
      <c r="A169" s="15" t="s">
        <v>7</v>
      </c>
      <c r="B169" s="15">
        <v>39</v>
      </c>
      <c r="C169" s="15">
        <v>38</v>
      </c>
      <c r="D169" s="15">
        <v>4</v>
      </c>
      <c r="E169" s="15">
        <v>46</v>
      </c>
      <c r="F169" s="15">
        <v>4</v>
      </c>
      <c r="G169" s="15">
        <v>-14</v>
      </c>
      <c r="H169" s="15">
        <v>3</v>
      </c>
      <c r="I169" s="15">
        <v>38</v>
      </c>
      <c r="J169" s="15">
        <v>4</v>
      </c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>
        <v>0</v>
      </c>
      <c r="AF169" s="15">
        <v>1</v>
      </c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CT169" s="1">
        <v>9</v>
      </c>
      <c r="CU169" s="1" t="str">
        <v>Damien</v>
      </c>
      <c r="CV169" s="1">
        <v>5.4640000000000004</v>
      </c>
      <c r="CW169" s="1">
        <v>830</v>
      </c>
    </row>
    <row r="170" spans="1:101" x14ac:dyDescent="0.3">
      <c r="A170" s="15" t="s">
        <v>7</v>
      </c>
      <c r="B170" s="15">
        <v>38</v>
      </c>
      <c r="C170" s="15">
        <v>47</v>
      </c>
      <c r="D170" s="15">
        <v>8</v>
      </c>
      <c r="E170" s="15"/>
      <c r="F170" s="15"/>
      <c r="G170" s="15">
        <v>46</v>
      </c>
      <c r="H170" s="15">
        <v>8</v>
      </c>
      <c r="I170" s="15"/>
      <c r="J170" s="15"/>
      <c r="K170" s="15">
        <v>65</v>
      </c>
      <c r="L170" s="15">
        <v>8</v>
      </c>
      <c r="M170" s="15"/>
      <c r="N170" s="15"/>
      <c r="O170" s="15">
        <v>47</v>
      </c>
      <c r="P170" s="15">
        <v>8</v>
      </c>
      <c r="Q170" s="15"/>
      <c r="R170" s="15"/>
      <c r="S170" s="15"/>
      <c r="T170" s="15"/>
      <c r="U170" s="15"/>
      <c r="V170" s="15"/>
      <c r="W170" s="15">
        <v>-8</v>
      </c>
      <c r="X170" s="15">
        <v>8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CT170" s="1">
        <v>10</v>
      </c>
      <c r="CU170" s="1" t="str">
        <v>Achille</v>
      </c>
      <c r="CV170" s="1">
        <v>5.4509999999999996</v>
      </c>
      <c r="CW170" s="1">
        <v>845</v>
      </c>
    </row>
    <row r="171" spans="1:101" x14ac:dyDescent="0.3">
      <c r="A171" s="15" t="s">
        <v>7</v>
      </c>
      <c r="B171" s="15">
        <v>37</v>
      </c>
      <c r="C171" s="15">
        <v>128</v>
      </c>
      <c r="D171" s="15">
        <v>20</v>
      </c>
      <c r="E171" s="15"/>
      <c r="F171" s="15"/>
      <c r="G171" s="15">
        <v>152</v>
      </c>
      <c r="H171" s="15">
        <v>20</v>
      </c>
      <c r="I171" s="15"/>
      <c r="J171" s="15"/>
      <c r="K171" s="15"/>
      <c r="L171" s="15"/>
      <c r="M171" s="15">
        <v>94</v>
      </c>
      <c r="N171" s="15">
        <v>20</v>
      </c>
      <c r="O171" s="15"/>
      <c r="P171" s="15"/>
      <c r="Q171" s="15">
        <v>121</v>
      </c>
      <c r="R171" s="15">
        <v>20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CT171" s="1">
        <v>11</v>
      </c>
      <c r="CU171" s="1" t="str">
        <v>Jules</v>
      </c>
      <c r="CV171" s="1">
        <v>5.3230000000000004</v>
      </c>
      <c r="CW171" s="1">
        <v>362</v>
      </c>
    </row>
    <row r="172" spans="1:101" x14ac:dyDescent="0.3">
      <c r="A172" s="15" t="s">
        <v>7</v>
      </c>
      <c r="B172" s="15">
        <v>36</v>
      </c>
      <c r="C172" s="15">
        <v>68</v>
      </c>
      <c r="D172" s="15">
        <v>12</v>
      </c>
      <c r="E172" s="15">
        <v>45</v>
      </c>
      <c r="F172" s="15">
        <v>12</v>
      </c>
      <c r="G172" s="15"/>
      <c r="H172" s="15"/>
      <c r="I172" s="15"/>
      <c r="J172" s="15"/>
      <c r="K172" s="15">
        <v>49</v>
      </c>
      <c r="L172" s="15">
        <v>12</v>
      </c>
      <c r="M172" s="15">
        <v>98</v>
      </c>
      <c r="N172" s="15">
        <v>12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CT172" s="1">
        <v>12</v>
      </c>
      <c r="CU172" s="1" t="str">
        <v>Joey</v>
      </c>
      <c r="CV172" s="1">
        <v>5.17</v>
      </c>
      <c r="CW172" s="1">
        <v>106</v>
      </c>
    </row>
    <row r="173" spans="1:101" x14ac:dyDescent="0.3">
      <c r="A173" s="15" t="s">
        <v>7</v>
      </c>
      <c r="B173" s="15">
        <v>35</v>
      </c>
      <c r="C173" s="15">
        <v>43</v>
      </c>
      <c r="D173" s="15">
        <v>12</v>
      </c>
      <c r="E173" s="15">
        <v>75</v>
      </c>
      <c r="F173" s="15">
        <v>12</v>
      </c>
      <c r="G173" s="15">
        <v>74</v>
      </c>
      <c r="H173" s="15">
        <v>12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CT173" s="1">
        <v>13</v>
      </c>
      <c r="CU173" s="1" t="str">
        <v>Marie</v>
      </c>
      <c r="CV173" s="1">
        <v>4.8520000000000003</v>
      </c>
      <c r="CW173" s="1">
        <v>368</v>
      </c>
    </row>
    <row r="174" spans="1:101" x14ac:dyDescent="0.3">
      <c r="A174" s="15" t="s">
        <v>7</v>
      </c>
      <c r="B174" s="15">
        <v>34</v>
      </c>
      <c r="C174" s="15"/>
      <c r="D174" s="15"/>
      <c r="E174" s="15">
        <v>24</v>
      </c>
      <c r="F174" s="15">
        <v>4</v>
      </c>
      <c r="G174" s="15">
        <v>27</v>
      </c>
      <c r="H174" s="15">
        <v>4</v>
      </c>
      <c r="I174" s="15"/>
      <c r="J174" s="15"/>
      <c r="K174" s="15"/>
      <c r="L174" s="15"/>
      <c r="M174" s="15">
        <v>-32</v>
      </c>
      <c r="N174" s="15">
        <v>4</v>
      </c>
      <c r="O174" s="15"/>
      <c r="P174" s="15"/>
      <c r="Q174" s="15">
        <v>68</v>
      </c>
      <c r="R174" s="15">
        <v>12</v>
      </c>
      <c r="S174" s="15">
        <v>56</v>
      </c>
      <c r="T174" s="15">
        <v>4</v>
      </c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CT174" s="1">
        <v>14</v>
      </c>
      <c r="CU174" s="1" t="str">
        <v>Paul</v>
      </c>
      <c r="CV174" s="1">
        <v>4.8129999999999997</v>
      </c>
      <c r="CW174" s="1">
        <v>32</v>
      </c>
    </row>
    <row r="175" spans="1:101" x14ac:dyDescent="0.3">
      <c r="A175" s="15" t="s">
        <v>7</v>
      </c>
      <c r="B175" s="15">
        <v>33</v>
      </c>
      <c r="C175" s="15">
        <v>11</v>
      </c>
      <c r="D175" s="15">
        <v>2</v>
      </c>
      <c r="E175" s="15"/>
      <c r="F175" s="15"/>
      <c r="G175" s="15">
        <v>11</v>
      </c>
      <c r="H175" s="15">
        <v>2</v>
      </c>
      <c r="I175" s="15">
        <v>13</v>
      </c>
      <c r="J175" s="15">
        <v>2</v>
      </c>
      <c r="K175" s="15"/>
      <c r="L175" s="15"/>
      <c r="M175" s="15"/>
      <c r="N175" s="15"/>
      <c r="O175" s="15"/>
      <c r="P175" s="15"/>
      <c r="Q175" s="15"/>
      <c r="R175" s="15"/>
      <c r="S175" s="15">
        <v>13</v>
      </c>
      <c r="T175" s="15">
        <v>2</v>
      </c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6"/>
      <c r="AQ175" s="15"/>
      <c r="AR175" s="15"/>
      <c r="AS175" s="15"/>
      <c r="AT175" s="15"/>
      <c r="AU175" s="15"/>
      <c r="AV175" s="15"/>
      <c r="AW175" s="15"/>
      <c r="AX175" s="15"/>
      <c r="AY175" s="15"/>
      <c r="CT175" s="1">
        <v>15</v>
      </c>
      <c r="CU175" s="1" t="str">
        <v>Lou</v>
      </c>
      <c r="CV175" s="1">
        <v>4.76</v>
      </c>
      <c r="CW175" s="1">
        <v>208</v>
      </c>
    </row>
    <row r="176" spans="1:101" x14ac:dyDescent="0.3">
      <c r="A176" s="15" t="s">
        <v>7</v>
      </c>
      <c r="B176" s="15">
        <v>32</v>
      </c>
      <c r="C176" s="15">
        <v>14</v>
      </c>
      <c r="D176" s="15">
        <v>11</v>
      </c>
      <c r="E176" s="15"/>
      <c r="F176" s="15"/>
      <c r="G176" s="15">
        <v>105</v>
      </c>
      <c r="H176" s="15">
        <v>11</v>
      </c>
      <c r="I176" s="15">
        <v>81</v>
      </c>
      <c r="J176" s="15">
        <v>11</v>
      </c>
      <c r="K176" s="15">
        <v>61</v>
      </c>
      <c r="L176" s="15">
        <v>11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CT176" s="1">
        <v>16</v>
      </c>
      <c r="CU176" s="1" t="str">
        <v>Émile</v>
      </c>
      <c r="CV176" s="1">
        <v>4.5</v>
      </c>
      <c r="CW176" s="1">
        <v>28</v>
      </c>
    </row>
    <row r="177" spans="1:104" x14ac:dyDescent="0.3">
      <c r="A177" s="15" t="s">
        <v>7</v>
      </c>
      <c r="B177" s="15">
        <v>31</v>
      </c>
      <c r="C177" s="15">
        <v>40</v>
      </c>
      <c r="D177" s="15">
        <v>4</v>
      </c>
      <c r="E177" s="15"/>
      <c r="F177" s="15"/>
      <c r="G177" s="15">
        <v>1</v>
      </c>
      <c r="H177" s="15">
        <v>4</v>
      </c>
      <c r="I177" s="15"/>
      <c r="J177" s="15"/>
      <c r="K177" s="15">
        <v>30</v>
      </c>
      <c r="L177" s="15">
        <v>4</v>
      </c>
      <c r="M177" s="15"/>
      <c r="N177" s="15"/>
      <c r="O177" s="15"/>
      <c r="P177" s="15"/>
      <c r="Q177" s="15"/>
      <c r="R177" s="15"/>
      <c r="S177" s="15">
        <v>19</v>
      </c>
      <c r="T177" s="15">
        <v>4</v>
      </c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CT177" s="1">
        <v>17</v>
      </c>
      <c r="CU177" s="1" t="str">
        <v>Stanislas</v>
      </c>
      <c r="CV177" s="1">
        <v>4.4809999999999999</v>
      </c>
      <c r="CW177" s="1">
        <v>27</v>
      </c>
    </row>
    <row r="178" spans="1:104" x14ac:dyDescent="0.3">
      <c r="A178" s="15" t="s">
        <v>7</v>
      </c>
      <c r="B178" s="15">
        <v>30</v>
      </c>
      <c r="C178" s="15">
        <f>56/2</f>
        <v>28</v>
      </c>
      <c r="D178" s="15">
        <f>6/2</f>
        <v>3</v>
      </c>
      <c r="E178" s="15"/>
      <c r="F178" s="15"/>
      <c r="G178" s="15">
        <v>-28</v>
      </c>
      <c r="H178" s="15">
        <v>6</v>
      </c>
      <c r="I178" s="15"/>
      <c r="J178" s="15"/>
      <c r="K178" s="15">
        <f>56/2</f>
        <v>28</v>
      </c>
      <c r="L178" s="15">
        <f>6/2</f>
        <v>3</v>
      </c>
      <c r="M178" s="15">
        <v>28</v>
      </c>
      <c r="N178" s="15">
        <v>6</v>
      </c>
      <c r="O178" s="15"/>
      <c r="P178" s="15"/>
      <c r="Q178" s="15"/>
      <c r="R178" s="15"/>
      <c r="S178" s="15">
        <v>53</v>
      </c>
      <c r="T178" s="15">
        <v>6</v>
      </c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CT178" s="1">
        <v>18</v>
      </c>
      <c r="CU178" s="1" t="str">
        <v>Quentin</v>
      </c>
      <c r="CV178" s="1">
        <v>4.0970000000000004</v>
      </c>
      <c r="CW178" s="1">
        <v>93</v>
      </c>
    </row>
    <row r="179" spans="1:104" x14ac:dyDescent="0.3">
      <c r="A179" s="15" t="s">
        <v>7</v>
      </c>
      <c r="B179" s="15">
        <v>29</v>
      </c>
      <c r="C179" s="15">
        <v>7</v>
      </c>
      <c r="D179" s="15">
        <v>6</v>
      </c>
      <c r="E179" s="15">
        <v>41</v>
      </c>
      <c r="F179" s="15">
        <v>6</v>
      </c>
      <c r="G179" s="15">
        <v>42</v>
      </c>
      <c r="H179" s="15">
        <v>6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>
        <v>34</v>
      </c>
      <c r="T179" s="15">
        <v>6</v>
      </c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CT179" s="1">
        <v>19</v>
      </c>
      <c r="CU179" s="1" t="str">
        <v>Loulou</v>
      </c>
      <c r="CV179" s="1">
        <v>3.7170000000000001</v>
      </c>
      <c r="CW179" s="1">
        <v>113</v>
      </c>
    </row>
    <row r="180" spans="1:104" x14ac:dyDescent="0.3">
      <c r="A180" s="15" t="s">
        <v>7</v>
      </c>
      <c r="B180" s="15">
        <v>28</v>
      </c>
      <c r="C180" s="15">
        <v>31</v>
      </c>
      <c r="D180" s="15">
        <v>4</v>
      </c>
      <c r="E180" s="15">
        <v>55</v>
      </c>
      <c r="F180" s="15">
        <v>4</v>
      </c>
      <c r="G180" s="15">
        <v>-8</v>
      </c>
      <c r="H180" s="15">
        <v>4</v>
      </c>
      <c r="I180" s="15">
        <v>33</v>
      </c>
      <c r="J180" s="15">
        <v>4</v>
      </c>
      <c r="K180" s="15"/>
      <c r="L180" s="15"/>
      <c r="M180" s="15">
        <v>11</v>
      </c>
      <c r="N180" s="15">
        <v>4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CT180" s="1">
        <v>20</v>
      </c>
      <c r="CU180" s="1" t="str">
        <v>Fantinne</v>
      </c>
      <c r="CV180" s="1">
        <v>3.6440000000000001</v>
      </c>
      <c r="CW180" s="1">
        <v>59</v>
      </c>
    </row>
    <row r="181" spans="1:104" x14ac:dyDescent="0.3">
      <c r="A181" s="15" t="s">
        <v>7</v>
      </c>
      <c r="B181" s="15">
        <v>27</v>
      </c>
      <c r="C181" s="15">
        <v>42</v>
      </c>
      <c r="D181" s="15">
        <v>9</v>
      </c>
      <c r="E181" s="15">
        <v>73</v>
      </c>
      <c r="F181" s="15">
        <v>9</v>
      </c>
      <c r="G181" s="15">
        <v>34</v>
      </c>
      <c r="H181" s="15">
        <v>9</v>
      </c>
      <c r="I181" s="15">
        <v>62</v>
      </c>
      <c r="J181" s="15">
        <v>9</v>
      </c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CT181" s="1">
        <v>21</v>
      </c>
      <c r="CU181" s="1" t="str">
        <v>Luca</v>
      </c>
      <c r="CV181" s="1">
        <v>3.2320000000000002</v>
      </c>
      <c r="CW181" s="1">
        <v>190</v>
      </c>
    </row>
    <row r="182" spans="1:104" x14ac:dyDescent="0.3">
      <c r="A182" s="15" t="s">
        <v>7</v>
      </c>
      <c r="B182" s="15">
        <v>26</v>
      </c>
      <c r="C182" s="15">
        <v>0</v>
      </c>
      <c r="D182" s="15">
        <v>1</v>
      </c>
      <c r="E182" s="15">
        <v>8</v>
      </c>
      <c r="F182" s="15">
        <v>1</v>
      </c>
      <c r="G182" s="15"/>
      <c r="H182" s="15"/>
      <c r="I182" s="15"/>
      <c r="J182" s="15"/>
      <c r="K182" s="15"/>
      <c r="L182" s="15"/>
      <c r="M182" s="15">
        <v>21</v>
      </c>
      <c r="N182" s="15">
        <v>2</v>
      </c>
      <c r="O182" s="15"/>
      <c r="P182" s="15"/>
      <c r="Q182" s="15"/>
      <c r="R182" s="15"/>
      <c r="S182" s="15">
        <v>13</v>
      </c>
      <c r="T182" s="15">
        <v>2</v>
      </c>
      <c r="U182" s="15"/>
      <c r="V182" s="15"/>
      <c r="W182" s="15"/>
      <c r="X182" s="15"/>
      <c r="Y182" s="15"/>
      <c r="Z182" s="15"/>
      <c r="AA182" s="15"/>
      <c r="AB182" s="15"/>
      <c r="AC182" s="15">
        <v>0</v>
      </c>
      <c r="AD182" s="15">
        <v>2</v>
      </c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104" x14ac:dyDescent="0.3">
      <c r="A183" s="15" t="s">
        <v>7</v>
      </c>
      <c r="B183" s="15">
        <v>25</v>
      </c>
      <c r="C183" s="15"/>
      <c r="D183" s="15"/>
      <c r="E183" s="15">
        <v>-14</v>
      </c>
      <c r="F183" s="15">
        <v>2</v>
      </c>
      <c r="G183" s="15">
        <v>27</v>
      </c>
      <c r="H183" s="15">
        <v>2</v>
      </c>
      <c r="I183" s="15">
        <v>-14</v>
      </c>
      <c r="J183" s="15">
        <v>2</v>
      </c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>
        <v>27</v>
      </c>
      <c r="AF183" s="15">
        <v>2</v>
      </c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104" x14ac:dyDescent="0.3">
      <c r="A184" s="15" t="s">
        <v>7</v>
      </c>
      <c r="B184" s="15">
        <v>24</v>
      </c>
      <c r="C184" s="15">
        <v>14</v>
      </c>
      <c r="D184" s="15">
        <v>2</v>
      </c>
      <c r="E184" s="15"/>
      <c r="F184" s="15"/>
      <c r="G184" s="15">
        <v>34</v>
      </c>
      <c r="H184" s="15">
        <v>2</v>
      </c>
      <c r="I184" s="15"/>
      <c r="J184" s="15"/>
      <c r="K184" s="15">
        <v>20</v>
      </c>
      <c r="L184" s="15">
        <v>2</v>
      </c>
      <c r="M184" s="15">
        <v>0</v>
      </c>
      <c r="N184" s="15">
        <v>2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104" x14ac:dyDescent="0.3">
      <c r="A185" s="15" t="s">
        <v>7</v>
      </c>
      <c r="B185" s="15">
        <v>23</v>
      </c>
      <c r="C185" s="15">
        <v>13</v>
      </c>
      <c r="D185" s="15">
        <v>9</v>
      </c>
      <c r="E185" s="15"/>
      <c r="F185" s="15"/>
      <c r="G185" s="15">
        <v>99</v>
      </c>
      <c r="H185" s="15">
        <v>9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>
        <v>28</v>
      </c>
      <c r="T185" s="15">
        <v>9</v>
      </c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>
        <v>42</v>
      </c>
      <c r="AL185" s="15">
        <v>9</v>
      </c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104" x14ac:dyDescent="0.3">
      <c r="A186" s="15" t="s">
        <v>7</v>
      </c>
      <c r="B186" s="15">
        <v>22</v>
      </c>
      <c r="C186" s="15">
        <v>19</v>
      </c>
      <c r="D186" s="15">
        <v>8</v>
      </c>
      <c r="E186" s="15">
        <v>82</v>
      </c>
      <c r="F186" s="15">
        <v>8</v>
      </c>
      <c r="G186" s="15">
        <v>24</v>
      </c>
      <c r="H186" s="15">
        <v>8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>
        <v>79</v>
      </c>
      <c r="AL186" s="15">
        <v>8</v>
      </c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104" x14ac:dyDescent="0.3">
      <c r="A187" s="15" t="s">
        <v>7</v>
      </c>
      <c r="B187" s="15">
        <v>21</v>
      </c>
      <c r="C187" s="15">
        <v>93</v>
      </c>
      <c r="D187" s="15">
        <v>20</v>
      </c>
      <c r="E187" s="15">
        <v>156</v>
      </c>
      <c r="F187" s="15">
        <v>20</v>
      </c>
      <c r="G187" s="15">
        <v>153</v>
      </c>
      <c r="H187" s="15">
        <v>20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>
        <v>59</v>
      </c>
      <c r="X187" s="15">
        <v>20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CT187" s="1" t="str" cm="1">
        <f t="array" ref="CT187:CV205">_xlfn.LET(_xlpm.cols_impairs, _xlfn.SEQUENCE(1,COLUMNS(C1:AZ1)/2,1,2),
  _xlpm.cols_pairs,   _xlfn.SEQUENCE(1,COLUMNS(C2:AZ2)/2,2,2),
  _xlpm.noms,     TRANSPOSE(INDEX(C9:AZ9,,_xlpm.cols_impairs)),
  _xlpm.moy,      TRANSPOSE(INDEX(C1:AZ1,,_xlpm.cols_impairs)),
  _xlpm.parties,  TRANSPOSE(INDEX(C2:AZ2,,_xlpm.cols_pairs)),
  _xlpm.ok, ISNUMBER(_xlpm.moy),
  _xlfn._xlws.SORT(CHOOSE({1,2,3}, _xlfn._xlws.FILTER(_xlpm.noms,_xlpm.ok), _xlfn._xlws.FILTER(_xlpm.moy,_xlpm.ok), _xlfn._xlws.FILTER(_xlpm.parties,_xlpm.ok)), 2, -1)
)</f>
        <v>Boris</v>
      </c>
      <c r="CU187" s="1">
        <v>7.1996078431372545</v>
      </c>
      <c r="CV187" s="1">
        <v>1275</v>
      </c>
      <c r="CY187" s="1" t="str" cm="1">
        <f t="array" ref="CY187:CZ207">_xlfn.LET(  _xlpm.noms, TRANSPOSE(INDEX(C9:BF9,_xlfn.SEQUENCE(1,COLUMNS(C9:BF9)/2,1,2))),_xlpm.moy,  TRANSPOSE(INDEX(C1:BF1,,_xlfn.SEQUENCE(1,COLUMNS(C1:BF1)/2,1,2))),_xlpm.ok, ISNUMBER(_xlpm.moy),_xlfn._xlws.SORT(CHOOSE({1,2}, _xlfn._xlws.FILTER(_xlpm.noms, _xlpm.ok), _xlfn._xlws.FILTER(_xlpm.moy, _xlpm.ok)), 2, -1))</f>
        <v>Boris</v>
      </c>
      <c r="CZ187" s="1">
        <v>7.1996078431372545</v>
      </c>
    </row>
    <row r="188" spans="1:104" x14ac:dyDescent="0.3">
      <c r="A188" s="15" t="s">
        <v>7</v>
      </c>
      <c r="B188" s="15">
        <v>20</v>
      </c>
      <c r="C188" s="15"/>
      <c r="D188" s="15"/>
      <c r="E188" s="15">
        <v>35</v>
      </c>
      <c r="F188" s="15">
        <v>8</v>
      </c>
      <c r="G188" s="15">
        <v>45</v>
      </c>
      <c r="H188" s="15">
        <v>8</v>
      </c>
      <c r="I188" s="15"/>
      <c r="J188" s="15"/>
      <c r="K188" s="15"/>
      <c r="L188" s="15"/>
      <c r="M188" s="15">
        <v>27</v>
      </c>
      <c r="N188" s="15">
        <v>8</v>
      </c>
      <c r="O188" s="15"/>
      <c r="P188" s="15"/>
      <c r="Q188" s="15"/>
      <c r="R188" s="15"/>
      <c r="S188" s="15">
        <v>78</v>
      </c>
      <c r="T188" s="15">
        <v>8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CT188" s="1" t="str">
        <v>Gauthier</v>
      </c>
      <c r="CU188" s="1">
        <v>6.6086956521739131</v>
      </c>
      <c r="CV188" s="1">
        <v>115</v>
      </c>
      <c r="CY188" s="1" t="str">
        <v>Gauthier</v>
      </c>
      <c r="CZ188" s="1">
        <v>6.6086956521739131</v>
      </c>
    </row>
    <row r="189" spans="1:104" x14ac:dyDescent="0.3">
      <c r="A189" s="15" t="s">
        <v>7</v>
      </c>
      <c r="B189" s="15">
        <v>19</v>
      </c>
      <c r="C189" s="15">
        <v>2</v>
      </c>
      <c r="D189" s="15">
        <v>7</v>
      </c>
      <c r="E189" s="15">
        <v>57</v>
      </c>
      <c r="F189" s="15">
        <v>7</v>
      </c>
      <c r="G189" s="15">
        <v>73</v>
      </c>
      <c r="H189" s="15">
        <v>7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>
        <v>29</v>
      </c>
      <c r="T189" s="15">
        <v>7</v>
      </c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CT189" s="1" t="str">
        <v>Célian</v>
      </c>
      <c r="CU189" s="1">
        <v>6.2047058823529415</v>
      </c>
      <c r="CV189" s="1">
        <v>425</v>
      </c>
      <c r="CY189" s="1" t="str">
        <v>Célian</v>
      </c>
      <c r="CZ189" s="1">
        <v>6.2047058823529415</v>
      </c>
    </row>
    <row r="190" spans="1:104" x14ac:dyDescent="0.3">
      <c r="A190" s="15" t="s">
        <v>7</v>
      </c>
      <c r="B190" s="15">
        <v>18</v>
      </c>
      <c r="C190" s="15">
        <v>50</v>
      </c>
      <c r="D190" s="15">
        <v>10</v>
      </c>
      <c r="E190" s="15"/>
      <c r="F190" s="15"/>
      <c r="G190" s="15">
        <v>103</v>
      </c>
      <c r="H190" s="15">
        <v>10</v>
      </c>
      <c r="I190" s="15"/>
      <c r="J190" s="15"/>
      <c r="K190" s="15"/>
      <c r="L190" s="15"/>
      <c r="M190" s="15"/>
      <c r="N190" s="15"/>
      <c r="O190" s="15"/>
      <c r="P190" s="15"/>
      <c r="Q190" s="15">
        <v>44</v>
      </c>
      <c r="R190" s="15">
        <v>10</v>
      </c>
      <c r="S190" s="15"/>
      <c r="T190" s="15"/>
      <c r="U190" s="15">
        <v>2</v>
      </c>
      <c r="V190" s="15">
        <v>10</v>
      </c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CT190" s="1" t="str">
        <v>William</v>
      </c>
      <c r="CU190" s="1">
        <v>6.068965517241379</v>
      </c>
      <c r="CV190" s="1">
        <v>29</v>
      </c>
      <c r="CY190" s="1" t="str">
        <v>William</v>
      </c>
      <c r="CZ190" s="1">
        <v>6.068965517241379</v>
      </c>
    </row>
    <row r="191" spans="1:104" x14ac:dyDescent="0.3">
      <c r="A191" s="15" t="s">
        <v>7</v>
      </c>
      <c r="B191" s="15">
        <v>17</v>
      </c>
      <c r="C191" s="15">
        <v>28</v>
      </c>
      <c r="D191" s="15">
        <v>8</v>
      </c>
      <c r="E191" s="15">
        <v>8</v>
      </c>
      <c r="F191" s="15">
        <v>8</v>
      </c>
      <c r="G191" s="15">
        <v>94</v>
      </c>
      <c r="H191" s="15">
        <v>8</v>
      </c>
      <c r="I191" s="15"/>
      <c r="J191" s="15"/>
      <c r="K191" s="15"/>
      <c r="L191" s="15"/>
      <c r="M191" s="15">
        <v>39</v>
      </c>
      <c r="N191" s="15">
        <v>8</v>
      </c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CT191" s="1" t="str">
        <v>Tom</v>
      </c>
      <c r="CU191" s="1">
        <v>5.9383753501400562</v>
      </c>
      <c r="CV191" s="1">
        <v>357</v>
      </c>
      <c r="CY191" s="1" t="str">
        <v>Tom</v>
      </c>
      <c r="CZ191" s="1">
        <v>5.9383753501400562</v>
      </c>
    </row>
    <row r="192" spans="1:104" x14ac:dyDescent="0.3">
      <c r="A192" s="15" t="s">
        <v>7</v>
      </c>
      <c r="B192" s="15">
        <v>16</v>
      </c>
      <c r="C192" s="15">
        <v>59</v>
      </c>
      <c r="D192" s="15">
        <v>11</v>
      </c>
      <c r="E192" s="15">
        <v>99</v>
      </c>
      <c r="F192" s="15">
        <v>11</v>
      </c>
      <c r="G192" s="15">
        <v>46</v>
      </c>
      <c r="H192" s="15">
        <v>11</v>
      </c>
      <c r="I192" s="15">
        <v>42</v>
      </c>
      <c r="J192" s="15">
        <v>11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CT192" s="1" t="str">
        <v>Samuel</v>
      </c>
      <c r="CU192" s="1">
        <v>5.9099526066350707</v>
      </c>
      <c r="CV192" s="1">
        <v>211</v>
      </c>
      <c r="CY192" s="1" t="str">
        <v>Samuel</v>
      </c>
      <c r="CZ192" s="1">
        <v>5.9099526066350707</v>
      </c>
    </row>
    <row r="193" spans="1:104" x14ac:dyDescent="0.3">
      <c r="A193" s="15" t="s">
        <v>7</v>
      </c>
      <c r="B193" s="15">
        <v>15</v>
      </c>
      <c r="C193" s="15">
        <v>21</v>
      </c>
      <c r="D193" s="15">
        <v>12</v>
      </c>
      <c r="E193" s="15">
        <v>61</v>
      </c>
      <c r="F193" s="15">
        <v>12</v>
      </c>
      <c r="G193" s="15">
        <v>91</v>
      </c>
      <c r="H193" s="15">
        <v>12</v>
      </c>
      <c r="I193" s="15"/>
      <c r="J193" s="15"/>
      <c r="K193" s="15"/>
      <c r="L193" s="15"/>
      <c r="M193" s="15"/>
      <c r="N193" s="15"/>
      <c r="O193" s="15">
        <v>70</v>
      </c>
      <c r="P193" s="15">
        <v>12</v>
      </c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CT193" s="1" t="str">
        <v>Joachim</v>
      </c>
      <c r="CU193" s="1">
        <v>5.8899082568807337</v>
      </c>
      <c r="CV193" s="1">
        <v>109</v>
      </c>
      <c r="CY193" s="1" t="str">
        <v>Joachim</v>
      </c>
      <c r="CZ193" s="1">
        <v>5.8899082568807337</v>
      </c>
    </row>
    <row r="194" spans="1:104" x14ac:dyDescent="0.3">
      <c r="A194" s="15" t="s">
        <v>7</v>
      </c>
      <c r="B194" s="15">
        <v>14</v>
      </c>
      <c r="C194" s="15">
        <v>29</v>
      </c>
      <c r="D194" s="15">
        <v>12</v>
      </c>
      <c r="E194" s="15">
        <v>55</v>
      </c>
      <c r="F194" s="15">
        <v>12</v>
      </c>
      <c r="G194" s="15">
        <v>107</v>
      </c>
      <c r="H194" s="15">
        <v>12</v>
      </c>
      <c r="I194" s="15">
        <v>81</v>
      </c>
      <c r="J194" s="15">
        <v>12</v>
      </c>
      <c r="K194" s="15">
        <v>84</v>
      </c>
      <c r="L194" s="15">
        <v>12</v>
      </c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CT194" s="1" t="str">
        <v>Mehdi</v>
      </c>
      <c r="CU194" s="1">
        <v>5.5956043956043953</v>
      </c>
      <c r="CV194" s="1">
        <v>455</v>
      </c>
      <c r="CY194" s="1" t="str">
        <v>Mehdi</v>
      </c>
      <c r="CZ194" s="1">
        <v>5.5956043956043953</v>
      </c>
    </row>
    <row r="195" spans="1:104" x14ac:dyDescent="0.3">
      <c r="A195" s="15" t="s">
        <v>7</v>
      </c>
      <c r="B195" s="15">
        <v>13</v>
      </c>
      <c r="C195" s="15">
        <v>162</v>
      </c>
      <c r="D195" s="15">
        <v>20</v>
      </c>
      <c r="E195" s="15">
        <v>125</v>
      </c>
      <c r="F195" s="15">
        <v>20</v>
      </c>
      <c r="G195" s="15">
        <v>87</v>
      </c>
      <c r="H195" s="15">
        <v>20</v>
      </c>
      <c r="I195" s="15">
        <v>150</v>
      </c>
      <c r="J195" s="15">
        <v>20</v>
      </c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CT195" s="1" t="str">
        <v>Damien</v>
      </c>
      <c r="CU195" s="1">
        <v>5.4638554216867474</v>
      </c>
      <c r="CV195" s="1">
        <v>830</v>
      </c>
      <c r="CY195" s="1" t="str">
        <v>Damien</v>
      </c>
      <c r="CZ195" s="1">
        <v>5.4638554216867474</v>
      </c>
    </row>
    <row r="196" spans="1:104" x14ac:dyDescent="0.3">
      <c r="A196" s="1" t="s">
        <v>25</v>
      </c>
      <c r="B196" s="1" t="s">
        <v>26</v>
      </c>
      <c r="CT196" s="1" t="str">
        <v>Achille</v>
      </c>
      <c r="CU196" s="1">
        <v>5.4508875739644971</v>
      </c>
      <c r="CV196" s="1">
        <v>845</v>
      </c>
      <c r="CY196" s="1" t="str">
        <v>Achille</v>
      </c>
      <c r="CZ196" s="1">
        <v>5.4508875739644971</v>
      </c>
    </row>
    <row r="197" spans="1:104" x14ac:dyDescent="0.3">
      <c r="A197" s="1" t="s">
        <v>7</v>
      </c>
      <c r="B197" s="1">
        <v>12</v>
      </c>
      <c r="C197" s="1">
        <v>91</v>
      </c>
      <c r="D197" s="1">
        <v>11</v>
      </c>
      <c r="G197" s="1">
        <v>40</v>
      </c>
      <c r="H197" s="1">
        <v>11</v>
      </c>
      <c r="U197" s="1">
        <v>64</v>
      </c>
      <c r="V197" s="1">
        <v>11</v>
      </c>
      <c r="Y197" s="1">
        <v>64</v>
      </c>
      <c r="Z197" s="1">
        <v>11</v>
      </c>
      <c r="CT197" s="1" t="str">
        <v>Jules</v>
      </c>
      <c r="CU197" s="1">
        <v>5.3232044198895023</v>
      </c>
      <c r="CV197" s="1">
        <v>362</v>
      </c>
      <c r="CY197" s="1" t="str">
        <v>Jules</v>
      </c>
      <c r="CZ197" s="1">
        <v>5.3232044198895023</v>
      </c>
    </row>
    <row r="198" spans="1:104" x14ac:dyDescent="0.3">
      <c r="A198" s="1" t="s">
        <v>7</v>
      </c>
      <c r="B198" s="1">
        <v>11</v>
      </c>
      <c r="C198" s="1">
        <v>64</v>
      </c>
      <c r="D198" s="1">
        <v>20</v>
      </c>
      <c r="E198" s="1">
        <v>87</v>
      </c>
      <c r="F198" s="1">
        <v>20</v>
      </c>
      <c r="G198" s="1">
        <v>185</v>
      </c>
      <c r="H198" s="1">
        <v>20</v>
      </c>
      <c r="M198" s="1">
        <v>134</v>
      </c>
      <c r="N198" s="1">
        <v>20</v>
      </c>
      <c r="CT198" s="1" t="str">
        <v>Joey</v>
      </c>
      <c r="CU198" s="1">
        <v>5.1698113207547172</v>
      </c>
      <c r="CV198" s="1">
        <v>106</v>
      </c>
      <c r="CY198" s="1" t="str">
        <v>Joey</v>
      </c>
      <c r="CZ198" s="1">
        <v>5.1698113207547172</v>
      </c>
    </row>
    <row r="199" spans="1:104" x14ac:dyDescent="0.3">
      <c r="A199" s="1" t="s">
        <v>7</v>
      </c>
      <c r="B199" s="1">
        <v>10</v>
      </c>
      <c r="C199" s="1">
        <v>-2</v>
      </c>
      <c r="D199" s="1">
        <v>8</v>
      </c>
      <c r="G199" s="1">
        <v>65</v>
      </c>
      <c r="H199" s="1">
        <v>8</v>
      </c>
      <c r="K199" s="1">
        <v>44</v>
      </c>
      <c r="L199" s="1">
        <v>8</v>
      </c>
      <c r="M199" s="1">
        <v>80</v>
      </c>
      <c r="N199" s="1">
        <v>8</v>
      </c>
      <c r="CT199" s="1" t="str">
        <v>Marie</v>
      </c>
      <c r="CU199" s="1">
        <v>4.8519021739130439</v>
      </c>
      <c r="CV199" s="1">
        <v>368</v>
      </c>
      <c r="CY199" s="1" t="str">
        <v>Marie</v>
      </c>
      <c r="CZ199" s="1">
        <v>4.8519021739130439</v>
      </c>
    </row>
    <row r="200" spans="1:104" x14ac:dyDescent="0.3">
      <c r="A200" s="1" t="s">
        <v>7</v>
      </c>
      <c r="B200" s="1">
        <v>9</v>
      </c>
      <c r="C200" s="1">
        <v>45</v>
      </c>
      <c r="D200" s="1">
        <v>9</v>
      </c>
      <c r="G200" s="1">
        <v>47</v>
      </c>
      <c r="H200" s="1">
        <v>9</v>
      </c>
      <c r="Y200" s="1">
        <v>44</v>
      </c>
      <c r="Z200" s="1">
        <v>9</v>
      </c>
      <c r="AA200" s="1">
        <v>42</v>
      </c>
      <c r="AB200" s="1">
        <v>9</v>
      </c>
      <c r="CT200" s="1" t="str">
        <v>Paul</v>
      </c>
      <c r="CU200" s="1">
        <v>4.8125</v>
      </c>
      <c r="CV200" s="1">
        <v>32</v>
      </c>
      <c r="CY200" s="1" t="str">
        <v>Paul</v>
      </c>
      <c r="CZ200" s="1">
        <v>4.8125</v>
      </c>
    </row>
    <row r="201" spans="1:104" x14ac:dyDescent="0.3">
      <c r="A201" s="1" t="s">
        <v>7</v>
      </c>
      <c r="B201" s="1">
        <v>8</v>
      </c>
      <c r="C201" s="1">
        <v>61</v>
      </c>
      <c r="D201" s="1">
        <v>12</v>
      </c>
      <c r="G201" s="1">
        <v>96</v>
      </c>
      <c r="H201" s="1">
        <v>12</v>
      </c>
      <c r="Y201" s="1">
        <v>46</v>
      </c>
      <c r="Z201" s="1">
        <v>12</v>
      </c>
      <c r="AA201" s="1">
        <v>47</v>
      </c>
      <c r="AB201" s="1">
        <v>12</v>
      </c>
      <c r="CT201" s="1" t="str">
        <v>Émile</v>
      </c>
      <c r="CU201" s="1">
        <v>4.5</v>
      </c>
      <c r="CV201" s="1">
        <v>28</v>
      </c>
      <c r="CY201" s="1" t="str">
        <v>Lou</v>
      </c>
      <c r="CZ201" s="1">
        <v>4.759615384615385</v>
      </c>
    </row>
    <row r="202" spans="1:104" x14ac:dyDescent="0.3">
      <c r="A202" s="1" t="s">
        <v>7</v>
      </c>
      <c r="B202" s="1">
        <v>7</v>
      </c>
      <c r="C202" s="1">
        <v>36</v>
      </c>
      <c r="D202" s="1">
        <v>2</v>
      </c>
      <c r="E202" s="1">
        <v>0</v>
      </c>
      <c r="F202" s="1">
        <v>2</v>
      </c>
      <c r="G202" s="1">
        <v>0</v>
      </c>
      <c r="H202" s="1">
        <v>2</v>
      </c>
      <c r="O202" s="1">
        <v>12</v>
      </c>
      <c r="P202" s="1">
        <v>2</v>
      </c>
      <c r="CT202" s="1" t="str">
        <v>Quentin</v>
      </c>
      <c r="CU202" s="1">
        <v>4.096774193548387</v>
      </c>
      <c r="CV202" s="1">
        <v>93</v>
      </c>
      <c r="CY202" s="1" t="str">
        <v>Émile</v>
      </c>
      <c r="CZ202" s="1">
        <v>4.5</v>
      </c>
    </row>
    <row r="203" spans="1:104" x14ac:dyDescent="0.3">
      <c r="A203" s="1" t="s">
        <v>7</v>
      </c>
      <c r="B203" s="1">
        <v>6</v>
      </c>
      <c r="C203" s="1">
        <v>99</v>
      </c>
      <c r="D203" s="1">
        <v>13</v>
      </c>
      <c r="E203" s="1">
        <v>23</v>
      </c>
      <c r="F203" s="1">
        <v>13</v>
      </c>
      <c r="G203" s="1">
        <v>90</v>
      </c>
      <c r="H203" s="1">
        <v>13</v>
      </c>
      <c r="I203" s="1">
        <v>131</v>
      </c>
      <c r="J203" s="1">
        <v>13</v>
      </c>
      <c r="CT203" s="1" t="str">
        <v>Loulou</v>
      </c>
      <c r="CU203" s="1">
        <v>3.7168141592920354</v>
      </c>
      <c r="CV203" s="1">
        <v>113</v>
      </c>
      <c r="CY203" s="1" t="str">
        <v>Stanislas</v>
      </c>
      <c r="CZ203" s="1">
        <v>4.4814814814814818</v>
      </c>
    </row>
    <row r="204" spans="1:104" x14ac:dyDescent="0.3">
      <c r="A204" s="1" t="s">
        <v>7</v>
      </c>
      <c r="B204" s="1">
        <v>5</v>
      </c>
      <c r="C204" s="1">
        <v>56</v>
      </c>
      <c r="D204" s="1">
        <v>9</v>
      </c>
      <c r="E204" s="1">
        <v>35</v>
      </c>
      <c r="F204" s="1">
        <v>9</v>
      </c>
      <c r="G204" s="1">
        <v>106</v>
      </c>
      <c r="H204" s="1">
        <v>9</v>
      </c>
      <c r="W204" s="1">
        <v>55</v>
      </c>
      <c r="X204" s="1">
        <v>9</v>
      </c>
      <c r="CT204" s="1" t="str">
        <v>Fantinne</v>
      </c>
      <c r="CU204" s="1">
        <v>3.6440677966101696</v>
      </c>
      <c r="CV204" s="1">
        <v>59</v>
      </c>
      <c r="CY204" s="1" t="str">
        <v>Quentin</v>
      </c>
      <c r="CZ204" s="1">
        <v>4.096774193548387</v>
      </c>
    </row>
    <row r="205" spans="1:104" x14ac:dyDescent="0.3">
      <c r="A205" s="1" t="s">
        <v>7</v>
      </c>
      <c r="B205" s="1">
        <v>4</v>
      </c>
      <c r="C205" s="1">
        <v>83</v>
      </c>
      <c r="D205" s="1">
        <v>11</v>
      </c>
      <c r="E205" s="1">
        <v>8</v>
      </c>
      <c r="F205" s="1">
        <v>11</v>
      </c>
      <c r="G205" s="1">
        <v>110</v>
      </c>
      <c r="H205" s="1">
        <v>11</v>
      </c>
      <c r="I205" s="1">
        <v>57</v>
      </c>
      <c r="J205" s="1">
        <v>11</v>
      </c>
      <c r="CT205" s="1" t="str">
        <v>Luca</v>
      </c>
      <c r="CU205" s="1">
        <v>3.2315789473684209</v>
      </c>
      <c r="CV205" s="1">
        <v>190</v>
      </c>
      <c r="CY205" s="1" t="str">
        <v>Loulou</v>
      </c>
      <c r="CZ205" s="1">
        <v>3.7168141592920354</v>
      </c>
    </row>
    <row r="206" spans="1:104" x14ac:dyDescent="0.3">
      <c r="A206" s="1" t="s">
        <v>7</v>
      </c>
      <c r="B206" s="1">
        <v>3</v>
      </c>
      <c r="C206" s="1">
        <v>71</v>
      </c>
      <c r="D206" s="1">
        <v>13</v>
      </c>
      <c r="G206" s="1">
        <v>88</v>
      </c>
      <c r="H206" s="1">
        <v>13</v>
      </c>
      <c r="I206" s="1">
        <v>116</v>
      </c>
      <c r="J206" s="1">
        <v>13</v>
      </c>
      <c r="M206" s="1">
        <v>29</v>
      </c>
      <c r="N206" s="1">
        <v>13</v>
      </c>
      <c r="CY206" s="1" t="str">
        <v>Fantinne</v>
      </c>
      <c r="CZ206" s="1">
        <v>3.6440677966101696</v>
      </c>
    </row>
    <row r="207" spans="1:104" x14ac:dyDescent="0.3">
      <c r="A207" s="1" t="s">
        <v>7</v>
      </c>
      <c r="B207" s="1">
        <v>2</v>
      </c>
      <c r="C207" s="1">
        <v>21</v>
      </c>
      <c r="D207" s="1">
        <v>15</v>
      </c>
      <c r="E207" s="1">
        <v>33</v>
      </c>
      <c r="F207" s="1">
        <v>15</v>
      </c>
      <c r="G207" s="1">
        <v>90</v>
      </c>
      <c r="H207" s="1">
        <v>15</v>
      </c>
      <c r="I207" s="1">
        <v>99</v>
      </c>
      <c r="J207" s="1">
        <v>15</v>
      </c>
      <c r="CY207" s="1" t="str">
        <v>Luca</v>
      </c>
      <c r="CZ207" s="1">
        <v>3.2315789473684209</v>
      </c>
    </row>
    <row r="208" spans="1:104" x14ac:dyDescent="0.3">
      <c r="A208" s="1" t="s">
        <v>7</v>
      </c>
      <c r="B208" s="1">
        <v>1</v>
      </c>
      <c r="C208" s="1">
        <v>-5</v>
      </c>
      <c r="D208" s="1">
        <v>12</v>
      </c>
      <c r="E208" s="1">
        <v>88</v>
      </c>
      <c r="F208" s="1">
        <v>12</v>
      </c>
      <c r="G208" s="1">
        <v>64</v>
      </c>
      <c r="H208" s="1">
        <v>12</v>
      </c>
      <c r="I208" s="1">
        <v>95</v>
      </c>
      <c r="J208" s="1">
        <v>12</v>
      </c>
    </row>
  </sheetData>
  <sortState xmlns:xlrd2="http://schemas.microsoft.com/office/spreadsheetml/2017/richdata2" ref="A197:AM208">
    <sortCondition descending="1" ref="B197:B208"/>
  </sortState>
  <mergeCells count="40">
    <mergeCell ref="AY9:AZ9"/>
    <mergeCell ref="AA9:AB9"/>
    <mergeCell ref="AC9:AD9"/>
    <mergeCell ref="AE9:AF9"/>
    <mergeCell ref="AK9:AL9"/>
    <mergeCell ref="AI9:AJ9"/>
    <mergeCell ref="AG9:AH9"/>
    <mergeCell ref="AM9:AN9"/>
    <mergeCell ref="AO9:AP9"/>
    <mergeCell ref="AQ9:AR9"/>
    <mergeCell ref="AS9:AT9"/>
    <mergeCell ref="AU9:AV9"/>
    <mergeCell ref="BA9:BB9"/>
    <mergeCell ref="BC9:BD9"/>
    <mergeCell ref="BE9:BF9"/>
    <mergeCell ref="Y9:Z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AW9:AX9"/>
    <mergeCell ref="BW9:BX9"/>
    <mergeCell ref="BY9:BZ9"/>
    <mergeCell ref="CA9:CB9"/>
    <mergeCell ref="CC9:CD9"/>
    <mergeCell ref="BG9:BH9"/>
    <mergeCell ref="BI9:BJ9"/>
    <mergeCell ref="BK9:BL9"/>
    <mergeCell ref="BM9:BN9"/>
    <mergeCell ref="BO9:BP9"/>
    <mergeCell ref="BQ9:BR9"/>
    <mergeCell ref="BS9:BT9"/>
    <mergeCell ref="BU9:BV9"/>
  </mergeCells>
  <conditionalFormatting sqref="C1 E1 G1 I1 K1 M1 O1 Q1 S1 U1 W1 Y1 AA1 AC1 AE1 AG1 AI1 AK1 AM1 AO1 AQ1 AS1 AU1 AW1 AY1 BA1 BC1 BE1 BG1 BI1 BK1 BM1 BO1 BQ1 BS1 BU1 BW1 BY1 CA1 CC1 C9:AM9 AO9 AQ9 AS9 AU9 AW9 AY9 BA9 BC9 BE9 BG9 BI9 BK9 BM9 BO9 BQ9 BS9 BU9 BW9 BY9 CA9 CC9">
    <cfRule type="expression" dxfId="28" priority="41" stopIfTrue="1">
      <formula>NOT(OR("/"=C$1,AVERAGE($C$1:$CD$1)&lt;C$1,SMALL($C$1:$CD$1,1)=C$1,SMALL($C$1:$CD$1,2)=C$1,SMALL($C$1:$CD$1,3)=C$1,LARGE($C$1:$CD$1,1)=C$1,LARGE($C$1:$CD$1,2)=C$1,LARGE($C$1:$CD$1,3)=C$1))</formula>
    </cfRule>
    <cfRule type="expression" dxfId="27" priority="43" stopIfTrue="1">
      <formula>("/"=C$1)</formula>
    </cfRule>
    <cfRule type="expression" dxfId="26" priority="44" stopIfTrue="1">
      <formula>NOT(OR("/"=C$1,AVERAGE($C$1:$CD$1)&gt;C$1,SMALL($C$1:$CD$1,1)=C$1,SMALL($C$1:$CD$1,2)=C$1,SMALL($C$1:$CD$1,3)=C$1,LARGE($C$1:$CD$1,1)=C$1,LARGE($C$1:$CD$1,2)=C$1,LARGE($C$1:$CD$1,3)=C$1))</formula>
    </cfRule>
    <cfRule type="expression" dxfId="25" priority="82" stopIfTrue="1">
      <formula>SMALL($C$1:$CD$1,3)=C$1</formula>
    </cfRule>
    <cfRule type="expression" dxfId="24" priority="84" stopIfTrue="1">
      <formula>SMALL($C$1:$CD$1,1)=C$1</formula>
    </cfRule>
    <cfRule type="expression" dxfId="23" priority="87" stopIfTrue="1">
      <formula>MAX($C$1:$CD$1)=C$1</formula>
    </cfRule>
  </conditionalFormatting>
  <conditionalFormatting sqref="C1 E1 G1 I1 K1 M1 O1 Q1 S1 U1 W1 Y1 AA1 AC1 AE1 AG1 AI1 AK1 AM1 AO1 AQ1 AS1 AU1 AW1 AY1 BA1 BC1 BE1 BG1 BI1 BK1 BM1 BO1 BQ1 BS1 BU1 BW1 BY1 CA1 CC1 C9:AM9 AO9 AQ9 AS9 AU9 AW9 AY9 BA9 BC9 BE9 BG9 BI9 BK9 BM9 BO9 BQ9 BS9 BU9 BW9">
    <cfRule type="expression" dxfId="22" priority="83" stopIfTrue="1">
      <formula>SMALL($C$1:$CD$1,2)=C$1</formula>
    </cfRule>
  </conditionalFormatting>
  <conditionalFormatting sqref="C1 E1 G1 I1 K1 M1 O1 Q1 S1 U1 W1 Y1 AA1 AC1 AE1 AG1 AI1 AK1 AM1 AO1 AQ1 AS1 AU1 AW1 AY1 BA1 BC1 BE1 BG1 BI1 BK1 BM1 BO1 BQ1 BS1 BU1 BW1 BY1 CA1 CC1 C9:AM9 AO9 AQ9 AS9 AU9 AW9 AY9 BA9 BC9 BE9 BG9 BI9 BK9 BM9 BO9 BQ9 BS9 BU9 BY9 CA9 CC9 BW9">
    <cfRule type="expression" dxfId="21" priority="86" stopIfTrue="1">
      <formula>LARGE($C$1:$CD$1,2)=C$1</formula>
    </cfRule>
  </conditionalFormatting>
  <conditionalFormatting sqref="C1 E1 G1 I1 K1 M1 O1 Q1 S1 U1 W1 Y1 AA1 AC1 AE1 AG1 AI1 AK1 AM1 AO1 AQ1 AS1 AU1 AW1 AY1 BA1 BC1 BE1 BG1 BI1 BK1 BM1 BO1 BQ1 BS1 BU1 BW1 BY1 CA1 CC1 C9:AM9 AO9 AQ9 AS9 AU9 AW9 AY9 BA9 BC9 BE9 BG9 BI9 BK9 BM9 BO9 BQ9 BS9 BU9 BY9 CA9 CC9">
    <cfRule type="expression" dxfId="20" priority="85" stopIfTrue="1">
      <formula>LARGE($C$1:$CD$1,3)=C$1</formula>
    </cfRule>
  </conditionalFormatting>
  <conditionalFormatting sqref="H10:H115 J10:J115 L10:L115 N10:N115 D10:D208 F10:F208 P10:P208 R10:R208 T10:T208 V10:V208 X10:X208 Z10:Z208 AB10:AB208 AD10:AD208 AF10:AF208 AH10:AH208 AJ10:AJ208 AL10:AL208 AN10:AN208 AP10:AP208 AR10:AR208 AT10:AT208 AV10:AV208 AX10:AX208 AZ10:AZ208 BB10:BB208 BD10:BD208 BF10:BF208 H117:H208 J117:J208 L117:L208 N117:N208">
    <cfRule type="expression" dxfId="19" priority="25" stopIfTrue="1">
      <formula>(C10/D10)&gt;12</formula>
    </cfRule>
    <cfRule type="expression" dxfId="18" priority="27" stopIfTrue="1">
      <formula>(C10/D10)&lt;-2</formula>
    </cfRule>
    <cfRule type="expression" dxfId="17" priority="29" stopIfTrue="1">
      <formula>(C10/D10)&lt;2</formula>
    </cfRule>
    <cfRule type="expression" dxfId="16" priority="31" stopIfTrue="1">
      <formula>(C10/D10)&gt;10</formula>
    </cfRule>
  </conditionalFormatting>
  <conditionalFormatting sqref="S10:S35 G10:G115 I10:I115 K10:K115 M10:M115 C10:C208 E10:E208 O10:O208 Q10:Q208 U10:U208 W10:W208 Y10:Y208 AA10:AA208 AC10:AC208 AE10:AE208 AG10:AG208 AI10:AI208 AK10:AK208 AM10:AM208 AO10:AO208 AQ10:AQ208 AS10:AS208 AU10:AU208 AW10:AW208 AY10:AY208 BA10:BA208 BC10:BC208 BE10:BE208 S38:S208 G117:G208 I117:I208 K117:K208 M117:M208">
    <cfRule type="expression" dxfId="15" priority="26" stopIfTrue="1">
      <formula>(C10/D10)&gt;12</formula>
    </cfRule>
    <cfRule type="expression" dxfId="14" priority="28" stopIfTrue="1">
      <formula>(C10/D10)&lt;-2</formula>
    </cfRule>
    <cfRule type="expression" dxfId="13" priority="30" stopIfTrue="1">
      <formula>(C10/D10)&lt;2</formula>
    </cfRule>
    <cfRule type="expression" dxfId="12" priority="32" stopIfTrue="1">
      <formula>(C10/D10)&gt;10</formula>
    </cfRule>
  </conditionalFormatting>
  <conditionalFormatting sqref="S37">
    <cfRule type="expression" dxfId="11" priority="92" stopIfTrue="1">
      <formula>(S37/T36)&gt;12</formula>
    </cfRule>
    <cfRule type="expression" dxfId="10" priority="93" stopIfTrue="1">
      <formula>(S37/T36)&lt;-2</formula>
    </cfRule>
    <cfRule type="expression" dxfId="9" priority="94" stopIfTrue="1">
      <formula>(S37/T36)&lt;2</formula>
    </cfRule>
    <cfRule type="expression" dxfId="8" priority="95" stopIfTrue="1">
      <formula>(S37/T36)&gt;10</formula>
    </cfRule>
  </conditionalFormatting>
  <conditionalFormatting sqref="CM129:CM157">
    <cfRule type="cellIs" dxfId="7" priority="3" operator="greaterThan">
      <formula>1000</formula>
    </cfRule>
    <cfRule type="cellIs" dxfId="6" priority="4" operator="between">
      <formula>20</formula>
      <formula>50</formula>
    </cfRule>
    <cfRule type="cellIs" dxfId="5" priority="5" operator="between">
      <formula>50</formula>
      <formula>100</formula>
    </cfRule>
    <cfRule type="cellIs" dxfId="4" priority="6" operator="between">
      <formula>100</formula>
      <formula>250</formula>
    </cfRule>
    <cfRule type="cellIs" dxfId="3" priority="7" operator="between">
      <formula>250</formula>
      <formula>500</formula>
    </cfRule>
    <cfRule type="cellIs" dxfId="2" priority="8" operator="between">
      <formula>500</formula>
      <formula>1000</formula>
    </cfRule>
  </conditionalFormatting>
  <conditionalFormatting sqref="CR129:CR150">
    <cfRule type="cellIs" dxfId="1" priority="1" operator="between">
      <formula>1</formula>
      <formula>10</formula>
    </cfRule>
    <cfRule type="cellIs" dxfId="0" priority="2" operator="between">
      <formula>10</formula>
      <formula>20</formula>
    </cfRule>
  </conditionalFormatting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77F6-AD3F-47F0-926D-61192148887D}">
  <dimension ref="A1:I28"/>
  <sheetViews>
    <sheetView zoomScale="88" workbookViewId="0">
      <selection activeCell="B25" sqref="B25"/>
    </sheetView>
  </sheetViews>
  <sheetFormatPr baseColWidth="10" defaultRowHeight="14.4" x14ac:dyDescent="0.3"/>
  <cols>
    <col min="1" max="1" width="11.5546875" style="1"/>
    <col min="2" max="2" width="13.6640625" style="1" customWidth="1"/>
    <col min="3" max="3" width="13" style="1" customWidth="1"/>
    <col min="4" max="4" width="15.5546875" style="1" bestFit="1" customWidth="1"/>
    <col min="5" max="5" width="20.109375" customWidth="1"/>
    <col min="6" max="6" width="21.77734375" customWidth="1"/>
    <col min="7" max="7" width="18" customWidth="1"/>
    <col min="9" max="9" width="15.109375" customWidth="1"/>
    <col min="10" max="10" width="14" customWidth="1"/>
  </cols>
  <sheetData>
    <row r="1" spans="1:9" x14ac:dyDescent="0.3">
      <c r="A1" s="1" t="s">
        <v>8</v>
      </c>
      <c r="B1" s="1" t="s">
        <v>36</v>
      </c>
      <c r="C1" s="1" t="s">
        <v>37</v>
      </c>
      <c r="D1" s="1" t="s">
        <v>42</v>
      </c>
      <c r="F1" t="str" cm="1">
        <f t="array" ref="F1:F10">'All stat'!CN116:CN125</f>
        <v>légende</v>
      </c>
    </row>
    <row r="2" spans="1:9" x14ac:dyDescent="0.3">
      <c r="A2" s="1" cm="1">
        <f t="array" ref="A2:D28">_xlfn.ANCHORARRAY('All stat'!CJ129)</f>
        <v>1</v>
      </c>
      <c r="B2" s="1" t="str">
        <v>Boris</v>
      </c>
      <c r="C2" s="1" t="str">
        <v>7.200</v>
      </c>
      <c r="D2" s="1">
        <v>1275</v>
      </c>
      <c r="F2" t="str">
        <v>nombre de parties</v>
      </c>
    </row>
    <row r="3" spans="1:9" x14ac:dyDescent="0.3">
      <c r="A3" s="1">
        <v>2</v>
      </c>
      <c r="B3" s="1" t="str">
        <v>Vincent</v>
      </c>
      <c r="C3" s="1" t="str">
        <v>6.750</v>
      </c>
      <c r="D3" s="1">
        <v>20</v>
      </c>
      <c r="F3" t="str">
        <v>entre 1 et 10</v>
      </c>
      <c r="G3" s="23"/>
      <c r="H3" t="str" cm="1">
        <f t="array" ref="H3:I10">'All stat'!CP118:CQ125</f>
        <v>anecdotique</v>
      </c>
      <c r="I3" t="str">
        <v>négligeable</v>
      </c>
    </row>
    <row r="4" spans="1:9" x14ac:dyDescent="0.3">
      <c r="A4" s="1">
        <v>3</v>
      </c>
      <c r="B4" s="1" t="str">
        <v>Gauthier</v>
      </c>
      <c r="C4" s="1" t="str">
        <v>6.609</v>
      </c>
      <c r="D4" s="1">
        <v>115</v>
      </c>
      <c r="F4" t="str">
        <v>entre 10 et 20</v>
      </c>
      <c r="G4" s="24"/>
      <c r="H4" t="str">
        <v>inexploitable</v>
      </c>
      <c r="I4" t="str">
        <v>inutile</v>
      </c>
    </row>
    <row r="5" spans="1:9" x14ac:dyDescent="0.3">
      <c r="A5" s="1">
        <v>4</v>
      </c>
      <c r="B5" s="1" t="str">
        <v>Célian</v>
      </c>
      <c r="C5" s="1" t="str">
        <v>6.205</v>
      </c>
      <c r="D5" s="1">
        <v>425</v>
      </c>
      <c r="F5" t="str">
        <v>entre 20 et 50</v>
      </c>
      <c r="G5" s="17"/>
      <c r="H5" t="str">
        <v>pas fiable</v>
      </c>
      <c r="I5" t="str">
        <v>fragile</v>
      </c>
    </row>
    <row r="6" spans="1:9" x14ac:dyDescent="0.3">
      <c r="A6" s="1">
        <v>5</v>
      </c>
      <c r="B6" s="1" t="str">
        <v>William</v>
      </c>
      <c r="C6" s="1" t="str">
        <v>6.069</v>
      </c>
      <c r="D6" s="1">
        <v>29</v>
      </c>
      <c r="F6" t="str">
        <v>entre 50 et 100</v>
      </c>
      <c r="G6" s="18"/>
      <c r="H6" t="str">
        <v>exploratoire</v>
      </c>
      <c r="I6" t="str">
        <v>à confirmer</v>
      </c>
    </row>
    <row r="7" spans="1:9" x14ac:dyDescent="0.3">
      <c r="A7" s="1">
        <v>6</v>
      </c>
      <c r="B7" s="1" t="str">
        <v>Tom</v>
      </c>
      <c r="C7" s="1" t="str">
        <v>5.938</v>
      </c>
      <c r="D7" s="1">
        <v>357</v>
      </c>
      <c r="F7" t="str">
        <v>entre 100 et 250</v>
      </c>
      <c r="G7" s="21"/>
      <c r="H7" t="str">
        <v>solide</v>
      </c>
      <c r="I7" t="str">
        <v>fondé</v>
      </c>
    </row>
    <row r="8" spans="1:9" x14ac:dyDescent="0.3">
      <c r="A8" s="1">
        <v>7</v>
      </c>
      <c r="B8" s="1" t="str">
        <v>Samuel</v>
      </c>
      <c r="C8" s="1" t="str">
        <v>5.910</v>
      </c>
      <c r="D8" s="1">
        <v>211</v>
      </c>
      <c r="F8" t="str">
        <v>entre 250 et 500</v>
      </c>
      <c r="G8" s="19"/>
      <c r="H8" t="str">
        <v>fiable</v>
      </c>
      <c r="I8" t="str">
        <v>crédible</v>
      </c>
    </row>
    <row r="9" spans="1:9" x14ac:dyDescent="0.3">
      <c r="A9" s="1">
        <v>8</v>
      </c>
      <c r="B9" s="1" t="str">
        <v>Joachim</v>
      </c>
      <c r="C9" s="1" t="str">
        <v>5.890</v>
      </c>
      <c r="D9" s="1">
        <v>109</v>
      </c>
      <c r="F9" t="str">
        <v>entre 500 et 1000</v>
      </c>
      <c r="G9" s="20"/>
      <c r="H9" t="str">
        <v>très fiable</v>
      </c>
      <c r="I9" t="str">
        <v>très robuste</v>
      </c>
    </row>
    <row r="10" spans="1:9" x14ac:dyDescent="0.3">
      <c r="A10" s="1">
        <v>9</v>
      </c>
      <c r="B10" s="1" t="str">
        <v>Mehdi</v>
      </c>
      <c r="C10" s="1" t="str">
        <v>5.596</v>
      </c>
      <c r="D10" s="1">
        <v>455</v>
      </c>
      <c r="F10" t="str">
        <v>plus de 1000</v>
      </c>
      <c r="G10" s="22"/>
      <c r="H10" t="str">
        <v>indiscutable</v>
      </c>
      <c r="I10" t="str">
        <v>irréfutable</v>
      </c>
    </row>
    <row r="11" spans="1:9" x14ac:dyDescent="0.3">
      <c r="A11" s="1">
        <v>10</v>
      </c>
      <c r="B11" s="1" t="str">
        <v>ethan</v>
      </c>
      <c r="C11" s="1" t="str">
        <v>5.500</v>
      </c>
      <c r="D11" s="1">
        <v>22</v>
      </c>
    </row>
    <row r="12" spans="1:9" x14ac:dyDescent="0.3">
      <c r="A12" s="1">
        <v>11</v>
      </c>
      <c r="B12" s="1" t="str">
        <v>Damien</v>
      </c>
      <c r="C12" s="1" t="str">
        <v>5.464</v>
      </c>
      <c r="D12" s="1">
        <v>830</v>
      </c>
    </row>
    <row r="13" spans="1:9" x14ac:dyDescent="0.3">
      <c r="A13" s="1">
        <v>12</v>
      </c>
      <c r="B13" s="1" t="str">
        <v>Achille</v>
      </c>
      <c r="C13" s="1" t="str">
        <v>5.451</v>
      </c>
      <c r="D13" s="1">
        <v>845</v>
      </c>
      <c r="F13" t="s">
        <v>101</v>
      </c>
      <c r="G13">
        <f>AVERAGE('All stat'!C1:CD1)</f>
        <v>5.2034280184292925</v>
      </c>
    </row>
    <row r="14" spans="1:9" x14ac:dyDescent="0.3">
      <c r="A14" s="1">
        <v>13</v>
      </c>
      <c r="B14" s="1" t="str">
        <v>Bruno</v>
      </c>
      <c r="C14" s="1" t="str">
        <v>5.400</v>
      </c>
      <c r="D14" s="1">
        <v>20</v>
      </c>
    </row>
    <row r="15" spans="1:9" x14ac:dyDescent="0.3">
      <c r="A15" s="1">
        <v>14</v>
      </c>
      <c r="B15" s="1" t="str">
        <v>gaspard</v>
      </c>
      <c r="C15" s="1" t="str">
        <v>5.342</v>
      </c>
      <c r="D15" s="1">
        <v>76</v>
      </c>
    </row>
    <row r="16" spans="1:9" x14ac:dyDescent="0.3">
      <c r="A16" s="1">
        <v>15</v>
      </c>
      <c r="B16" s="1" t="str">
        <v>Jules</v>
      </c>
      <c r="C16" s="1" t="str">
        <v>5.323</v>
      </c>
      <c r="D16" s="1">
        <v>362</v>
      </c>
    </row>
    <row r="17" spans="1:4" x14ac:dyDescent="0.3">
      <c r="A17" s="1">
        <v>16</v>
      </c>
      <c r="B17" s="1" t="str">
        <v>Hugo</v>
      </c>
      <c r="C17" s="1" t="str">
        <v>5.225</v>
      </c>
      <c r="D17" s="1">
        <v>40</v>
      </c>
    </row>
    <row r="18" spans="1:4" x14ac:dyDescent="0.3">
      <c r="A18" s="1">
        <v>17</v>
      </c>
      <c r="B18" s="1" t="str">
        <v>Joey</v>
      </c>
      <c r="C18" s="1" t="str">
        <v>5.170</v>
      </c>
      <c r="D18" s="1">
        <v>106</v>
      </c>
    </row>
    <row r="19" spans="1:4" x14ac:dyDescent="0.3">
      <c r="A19" s="1">
        <v>18</v>
      </c>
      <c r="B19" s="1" t="str">
        <v>Marie</v>
      </c>
      <c r="C19" s="1" t="str">
        <v>4.852</v>
      </c>
      <c r="D19" s="1">
        <v>368</v>
      </c>
    </row>
    <row r="20" spans="1:4" x14ac:dyDescent="0.3">
      <c r="A20" s="1">
        <v>19</v>
      </c>
      <c r="B20" s="1" t="str">
        <v>Paul</v>
      </c>
      <c r="C20" s="1" t="str">
        <v>4.813</v>
      </c>
      <c r="D20" s="1">
        <v>32</v>
      </c>
    </row>
    <row r="21" spans="1:4" x14ac:dyDescent="0.3">
      <c r="A21" s="1">
        <v>20</v>
      </c>
      <c r="B21" s="1" t="str">
        <v>Lou</v>
      </c>
      <c r="C21" s="1" t="str">
        <v>4.760</v>
      </c>
      <c r="D21" s="1">
        <v>208</v>
      </c>
    </row>
    <row r="22" spans="1:4" x14ac:dyDescent="0.3">
      <c r="A22" s="1">
        <v>21</v>
      </c>
      <c r="B22" s="1" t="str">
        <v>Émile</v>
      </c>
      <c r="C22" s="1" t="str">
        <v>4.500</v>
      </c>
      <c r="D22" s="1">
        <v>28</v>
      </c>
    </row>
    <row r="23" spans="1:4" x14ac:dyDescent="0.3">
      <c r="A23" s="1">
        <v>22</v>
      </c>
      <c r="B23" s="1" t="str">
        <v>Stanislas</v>
      </c>
      <c r="C23" s="1" t="str">
        <v>4.481</v>
      </c>
      <c r="D23" s="1">
        <v>27</v>
      </c>
    </row>
    <row r="24" spans="1:4" x14ac:dyDescent="0.3">
      <c r="A24" s="1">
        <v>23</v>
      </c>
      <c r="B24" s="1" t="str">
        <v>Quentin</v>
      </c>
      <c r="C24" s="1" t="str">
        <v>4.097</v>
      </c>
      <c r="D24" s="1">
        <v>93</v>
      </c>
    </row>
    <row r="25" spans="1:4" x14ac:dyDescent="0.3">
      <c r="A25" s="1">
        <v>24</v>
      </c>
      <c r="B25" s="1" t="str">
        <v>Loulou</v>
      </c>
      <c r="C25" s="1" t="str">
        <v>3.717</v>
      </c>
      <c r="D25" s="1">
        <v>113</v>
      </c>
    </row>
    <row r="26" spans="1:4" x14ac:dyDescent="0.3">
      <c r="A26" s="1">
        <v>25</v>
      </c>
      <c r="B26" s="1" t="str">
        <v>Fantinne</v>
      </c>
      <c r="C26" s="1" t="str">
        <v>3.644</v>
      </c>
      <c r="D26" s="1">
        <v>59</v>
      </c>
    </row>
    <row r="27" spans="1:4" x14ac:dyDescent="0.3">
      <c r="A27" s="1">
        <v>26</v>
      </c>
      <c r="B27" s="1" t="str">
        <v>Thomas</v>
      </c>
      <c r="C27" s="1" t="str">
        <v>3.357</v>
      </c>
      <c r="D27" s="1">
        <v>28</v>
      </c>
    </row>
    <row r="28" spans="1:4" x14ac:dyDescent="0.3">
      <c r="A28" s="1">
        <v>27</v>
      </c>
      <c r="B28" s="1" t="str">
        <v>Luca</v>
      </c>
      <c r="C28" s="1" t="str">
        <v>3.232</v>
      </c>
      <c r="D28" s="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All stat</vt:lpstr>
      <vt:lpstr>Classement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DOBBELSTEIN</dc:creator>
  <cp:lastModifiedBy>Boris Dobbelstein</cp:lastModifiedBy>
  <dcterms:created xsi:type="dcterms:W3CDTF">2024-02-27T09:37:50Z</dcterms:created>
  <dcterms:modified xsi:type="dcterms:W3CDTF">2026-09-25T20:17:48Z</dcterms:modified>
</cp:coreProperties>
</file>