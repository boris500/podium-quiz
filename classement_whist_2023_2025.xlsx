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702" documentId="8_{848EF4F6-53E4-4B52-9417-5BFB5A888B23}" xr6:coauthVersionLast="47" xr6:coauthVersionMax="47" xr10:uidLastSave="{DF0CC11B-6644-4681-9D08-66AC53FD3D7B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 a="1"/>
  <c r="H3" i="2" s="1"/>
  <c r="F1" i="2" a="1"/>
  <c r="F1" i="2" s="1"/>
  <c r="BK5" i="1"/>
  <c r="BK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C5" i="1" l="1"/>
  <c r="BE5" i="1"/>
  <c r="BF2" i="1"/>
  <c r="BE7" i="1"/>
  <c r="BE3" i="1"/>
  <c r="BE2" i="1"/>
  <c r="BA7" i="1"/>
  <c r="BA3" i="1"/>
  <c r="BD2" i="1"/>
  <c r="BC1" i="1" s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17" i="1"/>
  <c r="L6" i="1" s="1"/>
  <c r="K117" i="1"/>
  <c r="K6" i="1" s="1"/>
  <c r="D117" i="1"/>
  <c r="D6" i="1" s="1"/>
  <c r="C117" i="1"/>
  <c r="C6" i="1" s="1"/>
  <c r="D4" i="1"/>
  <c r="BE1" i="1" l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Y1" i="1" l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L68" i="1" l="1" a="1"/>
  <c r="BL68" i="1" s="1"/>
  <c r="A2" i="2" s="1" a="1"/>
  <c r="A2" i="2" s="1"/>
  <c r="BQ68" i="1" a="1"/>
  <c r="BQ68" i="1" s="1"/>
  <c r="BV100" i="1" a="1"/>
  <c r="BV100" i="1" s="1"/>
  <c r="BV126" i="1" a="1"/>
  <c r="BV126" i="1" s="1"/>
  <c r="CA126" i="1" a="1"/>
  <c r="CA126" i="1" s="1"/>
  <c r="BV68" i="1" a="1"/>
  <c r="BV68" i="1" s="1"/>
  <c r="BJ80" i="1"/>
  <c r="BJ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<sst xmlns="http://schemas.openxmlformats.org/spreadsheetml/2006/main" count="330" uniqueCount="91">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</sst>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147"/>
  <sheetViews>
    <sheetView tabSelected="1" topLeftCell="A18" zoomScale="95" zoomScaleNormal="130" workbookViewId="0">
      <selection activeCell="I22" sqref="I22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59" width="5.77734375" style="1" customWidth="1"/>
    <col min="60" max="60" width="11.5546875" style="1"/>
    <col min="61" max="61" width="18.33203125" style="1" customWidth="1"/>
    <col min="62" max="62" width="20.6640625" style="1" customWidth="1"/>
    <col min="63" max="63" width="11.5546875" style="1"/>
    <col min="64" max="64" width="16.88671875" style="1" customWidth="1"/>
    <col min="65" max="66" width="11.5546875" style="1"/>
    <col min="67" max="67" width="20.33203125" style="1" customWidth="1"/>
    <col min="68" max="68" width="23.6640625" style="1" customWidth="1"/>
    <col min="69" max="69" width="21.109375" style="1" customWidth="1"/>
    <col min="70" max="70" width="20.33203125" style="1" customWidth="1"/>
    <col min="71" max="71" width="19.21875" style="1" customWidth="1"/>
    <col min="72" max="72" width="20.77734375" style="1" customWidth="1"/>
    <col min="73" max="73" width="15.77734375" style="1" customWidth="1"/>
    <col min="74" max="16384" width="11.5546875" style="1"/>
  </cols>
  <sheetData>
    <row r="1" spans="1:63" x14ac:dyDescent="0.3">
      <c r="A1" s="1" t="s">
        <v>0</v>
      </c>
      <c r="B1" s="1" t="s">
        <v>1</v>
      </c>
      <c r="C1" s="1">
        <f t="shared" ref="C1" si="0">IF(D2&gt;19,C2/D2,"/")</f>
        <v>5.3470873786407767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7.2462981243830207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6.2019230769230766</v>
      </c>
      <c r="L1" s="1" t="s">
        <v>2</v>
      </c>
      <c r="M1" s="1">
        <f t="shared" ref="M1" si="5">IF(N2&gt;19,M2/N2,"/")</f>
        <v>5.4105621805792161</v>
      </c>
      <c r="N1" s="1" t="s">
        <v>2</v>
      </c>
      <c r="O1" s="1">
        <f t="shared" ref="O1" si="6">IF(P2&gt;19,O2/P2,"/")</f>
        <v>7.3913043478260869</v>
      </c>
      <c r="P1" s="1" t="s">
        <v>2</v>
      </c>
      <c r="Q1" s="1">
        <f t="shared" ref="Q1" si="7">IF(R2&gt;19,Q2/R2,"/")</f>
        <v>6.0705394190871367</v>
      </c>
      <c r="R1" s="1" t="s">
        <v>2</v>
      </c>
      <c r="S1" s="1">
        <f t="shared" ref="S1" si="8">IF(T2&gt;19,S2/T2,"/")</f>
        <v>6.1088082901554408</v>
      </c>
      <c r="T1" s="1" t="s">
        <v>2</v>
      </c>
      <c r="U1" s="1">
        <f t="shared" ref="U1" si="9">IF(V2&gt;19,U2/V2,"/")</f>
        <v>3.0112359550561796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4.2391304347826084</v>
      </c>
      <c r="AB1" s="1" t="s">
        <v>2</v>
      </c>
      <c r="AC1" s="1">
        <f>IF(AD2&gt;19,AC2/AD2,"/")</f>
        <v>4.6962962962962962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3.0344827586206895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5.0149253731343286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 t="str">
        <f t="shared" ref="BC1" si="25">IF(BD2&gt;19,BC2/BD2,"/")</f>
        <v>/</v>
      </c>
      <c r="BD1" s="1" t="s">
        <v>2</v>
      </c>
      <c r="BE1" s="1">
        <f t="shared" ref="BE1" si="26">IF(BF2&gt;19,BE2/BF2,"/")</f>
        <v>5.916666666666667</v>
      </c>
      <c r="BF1" s="1" t="s">
        <v>2</v>
      </c>
    </row>
    <row r="2" spans="1:63" x14ac:dyDescent="0.3">
      <c r="B2" s="1" t="s">
        <v>3</v>
      </c>
      <c r="C2" s="1">
        <f>C4+C6+C8</f>
        <v>4406</v>
      </c>
      <c r="D2" s="1">
        <f>D4+D6+D8</f>
        <v>824</v>
      </c>
      <c r="E2" s="1">
        <f t="shared" ref="E2:J2" si="27">E4+E6+E8</f>
        <v>2429</v>
      </c>
      <c r="F2" s="1">
        <f t="shared" si="27"/>
        <v>421</v>
      </c>
      <c r="G2" s="1">
        <f t="shared" si="27"/>
        <v>7340.5</v>
      </c>
      <c r="H2" s="1">
        <f t="shared" si="27"/>
        <v>1013</v>
      </c>
      <c r="I2" s="1">
        <f t="shared" si="27"/>
        <v>1247</v>
      </c>
      <c r="J2" s="1">
        <f t="shared" si="27"/>
        <v>211</v>
      </c>
      <c r="K2" s="1">
        <f t="shared" ref="K2:AZ2" si="28">K4+K6+K8</f>
        <v>645</v>
      </c>
      <c r="L2" s="1">
        <f t="shared" si="28"/>
        <v>104</v>
      </c>
      <c r="M2" s="1">
        <f t="shared" si="28"/>
        <v>3176</v>
      </c>
      <c r="N2" s="1">
        <f t="shared" si="28"/>
        <v>587</v>
      </c>
      <c r="O2" s="1">
        <f t="shared" si="28"/>
        <v>510</v>
      </c>
      <c r="P2" s="1">
        <f t="shared" si="28"/>
        <v>69</v>
      </c>
      <c r="Q2" s="1">
        <f t="shared" si="28"/>
        <v>1463</v>
      </c>
      <c r="R2" s="1">
        <f t="shared" si="28"/>
        <v>241</v>
      </c>
      <c r="S2" s="1">
        <f t="shared" si="28"/>
        <v>1179</v>
      </c>
      <c r="T2" s="1">
        <f t="shared" si="28"/>
        <v>193</v>
      </c>
      <c r="U2" s="1">
        <f t="shared" si="28"/>
        <v>536</v>
      </c>
      <c r="V2" s="1">
        <f t="shared" si="28"/>
        <v>178</v>
      </c>
      <c r="W2" s="1">
        <f t="shared" si="28"/>
        <v>139</v>
      </c>
      <c r="X2" s="1">
        <f t="shared" si="28"/>
        <v>67</v>
      </c>
      <c r="Y2" s="1">
        <f t="shared" si="28"/>
        <v>154</v>
      </c>
      <c r="Z2" s="1">
        <f t="shared" si="28"/>
        <v>32</v>
      </c>
      <c r="AA2" s="1">
        <f t="shared" si="28"/>
        <v>877.5</v>
      </c>
      <c r="AB2" s="1">
        <f t="shared" si="28"/>
        <v>207</v>
      </c>
      <c r="AC2" s="1">
        <f t="shared" si="28"/>
        <v>634</v>
      </c>
      <c r="AD2" s="1">
        <f t="shared" si="28"/>
        <v>135</v>
      </c>
      <c r="AE2" s="1">
        <f t="shared" si="28"/>
        <v>27</v>
      </c>
      <c r="AF2" s="1">
        <f t="shared" si="28"/>
        <v>5</v>
      </c>
      <c r="AG2" s="1">
        <f t="shared" si="28"/>
        <v>176</v>
      </c>
      <c r="AH2" s="1">
        <f t="shared" si="28"/>
        <v>29</v>
      </c>
      <c r="AI2" s="1">
        <f t="shared" si="28"/>
        <v>151</v>
      </c>
      <c r="AJ2" s="1">
        <f t="shared" si="28"/>
        <v>51</v>
      </c>
      <c r="AK2" s="1">
        <f t="shared" si="28"/>
        <v>121</v>
      </c>
      <c r="AL2" s="1">
        <f t="shared" si="28"/>
        <v>17</v>
      </c>
      <c r="AM2" s="1">
        <f t="shared" si="28"/>
        <v>176</v>
      </c>
      <c r="AN2" s="1">
        <f t="shared" si="28"/>
        <v>58</v>
      </c>
      <c r="AO2" s="1">
        <f t="shared" si="28"/>
        <v>-1</v>
      </c>
      <c r="AP2" s="1">
        <f t="shared" si="28"/>
        <v>12</v>
      </c>
      <c r="AQ2" s="1">
        <f t="shared" si="28"/>
        <v>336</v>
      </c>
      <c r="AR2" s="1">
        <f t="shared" si="28"/>
        <v>67</v>
      </c>
      <c r="AS2" s="1">
        <f t="shared" si="28"/>
        <v>8</v>
      </c>
      <c r="AT2" s="1">
        <f t="shared" si="28"/>
        <v>11</v>
      </c>
      <c r="AU2" s="1">
        <f t="shared" si="28"/>
        <v>34</v>
      </c>
      <c r="AV2" s="1">
        <f t="shared" si="28"/>
        <v>4</v>
      </c>
      <c r="AW2" s="1">
        <f t="shared" si="28"/>
        <v>14</v>
      </c>
      <c r="AX2" s="1">
        <f t="shared" si="28"/>
        <v>5</v>
      </c>
      <c r="AY2" s="1">
        <f t="shared" si="28"/>
        <v>43</v>
      </c>
      <c r="AZ2" s="1">
        <f t="shared" si="28"/>
        <v>13</v>
      </c>
      <c r="BA2" s="1">
        <f t="shared" ref="BA2:BD2" si="29">BA4+BA6+BA8</f>
        <v>34</v>
      </c>
      <c r="BB2" s="1">
        <f t="shared" si="29"/>
        <v>2</v>
      </c>
      <c r="BC2" s="1">
        <f t="shared" si="29"/>
        <v>64</v>
      </c>
      <c r="BD2" s="1">
        <f t="shared" si="29"/>
        <v>17</v>
      </c>
      <c r="BE2" s="1">
        <f t="shared" ref="BE2:BF2" si="30">BE4+BE6+BE8</f>
        <v>426</v>
      </c>
      <c r="BF2" s="1">
        <f t="shared" si="30"/>
        <v>72</v>
      </c>
    </row>
    <row r="3" spans="1:63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1">E4/F4</f>
        <v>3.3414634146341462</v>
      </c>
      <c r="F3" s="1" t="s">
        <v>2</v>
      </c>
      <c r="G3" s="1">
        <f t="shared" ref="G3" si="32">G4/H4</f>
        <v>7.2666666666666666</v>
      </c>
      <c r="H3" s="1" t="s">
        <v>2</v>
      </c>
      <c r="I3" s="1">
        <f t="shared" ref="I3" si="33">I4/J4</f>
        <v>7.78125</v>
      </c>
      <c r="J3" s="1" t="s">
        <v>2</v>
      </c>
      <c r="K3" s="1">
        <f t="shared" ref="K3" si="34">K4/L4</f>
        <v>5.5</v>
      </c>
      <c r="L3" s="1" t="s">
        <v>2</v>
      </c>
      <c r="M3" s="1">
        <f t="shared" ref="M3" si="35">M4/N4</f>
        <v>5.9268292682926829</v>
      </c>
      <c r="N3" s="1" t="s">
        <v>2</v>
      </c>
      <c r="O3" s="1">
        <f t="shared" ref="O3" si="36">O4/P4</f>
        <v>6</v>
      </c>
      <c r="P3" s="1" t="s">
        <v>2</v>
      </c>
      <c r="Q3" s="1" t="e">
        <f t="shared" ref="Q3" si="37">Q4/R4</f>
        <v>#DIV/0!</v>
      </c>
      <c r="R3" s="1" t="s">
        <v>2</v>
      </c>
      <c r="S3" s="1" t="e">
        <f t="shared" ref="S3" si="38">S4/T4</f>
        <v>#DIV/0!</v>
      </c>
      <c r="T3" s="1" t="s">
        <v>2</v>
      </c>
      <c r="U3" s="1">
        <f t="shared" ref="U3" si="39">U4/V4</f>
        <v>5.8181818181818183</v>
      </c>
      <c r="V3" s="1" t="s">
        <v>2</v>
      </c>
      <c r="W3" s="1">
        <f t="shared" ref="W3" si="40">W4/X4</f>
        <v>6.1111111111111107</v>
      </c>
      <c r="X3" s="1" t="s">
        <v>2</v>
      </c>
      <c r="Y3" s="1">
        <f t="shared" ref="Y3" si="41">Y4/Z4</f>
        <v>4.8125</v>
      </c>
      <c r="Z3" s="1" t="s">
        <v>2</v>
      </c>
      <c r="AA3" s="1">
        <f t="shared" ref="AA3" si="42">AA4/AB4</f>
        <v>4.2380952380952381</v>
      </c>
      <c r="AB3" s="1" t="s">
        <v>2</v>
      </c>
      <c r="AC3" s="1" t="e">
        <f t="shared" ref="AC3" si="43">AC4/AD4</f>
        <v>#DIV/0!</v>
      </c>
      <c r="AD3" s="1" t="s">
        <v>2</v>
      </c>
      <c r="AE3" s="1" t="e">
        <f t="shared" ref="AE3" si="44">AE4/AF4</f>
        <v>#DIV/0!</v>
      </c>
      <c r="AF3" s="1" t="s">
        <v>2</v>
      </c>
      <c r="AG3" s="1" t="e">
        <f t="shared" ref="AG3" si="45">AG4/AH4</f>
        <v>#DIV/0!</v>
      </c>
      <c r="AH3" s="1" t="s">
        <v>2</v>
      </c>
      <c r="AI3" s="1" t="e">
        <f t="shared" ref="AI3" si="46">AI4/AJ4</f>
        <v>#DIV/0!</v>
      </c>
      <c r="AJ3" s="1" t="s">
        <v>2</v>
      </c>
      <c r="AK3" s="1" t="e">
        <f t="shared" ref="AK3" si="47">AK4/AL4</f>
        <v>#DIV/0!</v>
      </c>
      <c r="AL3" s="1" t="s">
        <v>2</v>
      </c>
      <c r="AM3" s="1" t="e">
        <f t="shared" ref="AM3" si="48">AM4/AN4</f>
        <v>#DIV/0!</v>
      </c>
      <c r="AN3" s="1" t="s">
        <v>2</v>
      </c>
      <c r="AO3" s="1" t="e">
        <f t="shared" ref="AO3" si="49">AO4/AP4</f>
        <v>#DIV/0!</v>
      </c>
      <c r="AP3" s="1" t="s">
        <v>2</v>
      </c>
      <c r="AQ3" s="1" t="e">
        <f t="shared" ref="AQ3" si="50">AQ4/AR4</f>
        <v>#DIV/0!</v>
      </c>
      <c r="AR3" s="1" t="s">
        <v>2</v>
      </c>
      <c r="AS3" s="1" t="e">
        <f t="shared" ref="AS3" si="51">AS4/AT4</f>
        <v>#DIV/0!</v>
      </c>
      <c r="AT3" s="1" t="s">
        <v>2</v>
      </c>
      <c r="AU3" s="1" t="e">
        <f t="shared" ref="AU3" si="52">AU4/AV4</f>
        <v>#DIV/0!</v>
      </c>
      <c r="AV3" s="1" t="s">
        <v>2</v>
      </c>
      <c r="AW3" s="1" t="e">
        <f t="shared" ref="AW3" si="53">AW4/AX4</f>
        <v>#DIV/0!</v>
      </c>
      <c r="AX3" s="1" t="s">
        <v>2</v>
      </c>
      <c r="AY3" s="1" t="e">
        <f t="shared" ref="AY3" si="54">AY4/AZ4</f>
        <v>#DIV/0!</v>
      </c>
      <c r="AZ3" s="1" t="s">
        <v>2</v>
      </c>
      <c r="BA3" s="1" t="e">
        <f t="shared" ref="BA3" si="55">BA4/BB4</f>
        <v>#DIV/0!</v>
      </c>
      <c r="BB3" s="1" t="s">
        <v>2</v>
      </c>
      <c r="BC3" s="1" t="e">
        <f t="shared" ref="BC3" si="56">BC4/BD4</f>
        <v>#DIV/0!</v>
      </c>
      <c r="BD3" s="1" t="s">
        <v>2</v>
      </c>
      <c r="BE3" s="1" t="e">
        <f t="shared" ref="BE3" si="57">BE4/BF4</f>
        <v>#DIV/0!</v>
      </c>
      <c r="BF3" s="1" t="s">
        <v>2</v>
      </c>
      <c r="BI3" s="1" t="s">
        <v>49</v>
      </c>
      <c r="BK3" s="1" t="s">
        <v>28</v>
      </c>
    </row>
    <row r="4" spans="1:63" x14ac:dyDescent="0.3">
      <c r="B4" s="1" t="s">
        <v>3</v>
      </c>
      <c r="C4" s="1">
        <f>SUM(C136:C147)</f>
        <v>620</v>
      </c>
      <c r="D4" s="1">
        <f>SUM(D136:D147)</f>
        <v>135</v>
      </c>
      <c r="E4" s="1">
        <f t="shared" ref="E4:J4" si="58">SUM(E136:E147)</f>
        <v>274</v>
      </c>
      <c r="F4" s="1">
        <f t="shared" si="58"/>
        <v>82</v>
      </c>
      <c r="G4" s="1">
        <f t="shared" si="58"/>
        <v>981</v>
      </c>
      <c r="H4" s="1">
        <f t="shared" si="58"/>
        <v>135</v>
      </c>
      <c r="I4" s="1">
        <f t="shared" si="58"/>
        <v>498</v>
      </c>
      <c r="J4" s="1">
        <f t="shared" si="58"/>
        <v>64</v>
      </c>
      <c r="K4" s="1">
        <f t="shared" ref="K4:AZ4" si="59">SUM(K136:K147)</f>
        <v>44</v>
      </c>
      <c r="L4" s="1">
        <f t="shared" si="59"/>
        <v>8</v>
      </c>
      <c r="M4" s="1">
        <f t="shared" si="59"/>
        <v>243</v>
      </c>
      <c r="N4" s="1">
        <f t="shared" si="59"/>
        <v>41</v>
      </c>
      <c r="O4" s="1">
        <f t="shared" si="59"/>
        <v>12</v>
      </c>
      <c r="P4" s="1">
        <f t="shared" si="59"/>
        <v>2</v>
      </c>
      <c r="Q4" s="1">
        <f t="shared" si="59"/>
        <v>0</v>
      </c>
      <c r="R4" s="1">
        <f t="shared" si="59"/>
        <v>0</v>
      </c>
      <c r="S4" s="1">
        <f t="shared" si="59"/>
        <v>0</v>
      </c>
      <c r="T4" s="1">
        <f t="shared" si="59"/>
        <v>0</v>
      </c>
      <c r="U4" s="1">
        <f t="shared" si="59"/>
        <v>64</v>
      </c>
      <c r="V4" s="1">
        <f t="shared" si="59"/>
        <v>11</v>
      </c>
      <c r="W4" s="1">
        <f t="shared" si="59"/>
        <v>55</v>
      </c>
      <c r="X4" s="1">
        <f t="shared" si="59"/>
        <v>9</v>
      </c>
      <c r="Y4" s="1">
        <f t="shared" si="59"/>
        <v>154</v>
      </c>
      <c r="Z4" s="1">
        <f t="shared" si="59"/>
        <v>32</v>
      </c>
      <c r="AA4" s="1">
        <f t="shared" si="59"/>
        <v>89</v>
      </c>
      <c r="AB4" s="1">
        <f t="shared" si="59"/>
        <v>21</v>
      </c>
      <c r="AC4" s="1">
        <f t="shared" si="59"/>
        <v>0</v>
      </c>
      <c r="AD4" s="1">
        <f t="shared" si="59"/>
        <v>0</v>
      </c>
      <c r="AE4" s="1">
        <f t="shared" si="59"/>
        <v>0</v>
      </c>
      <c r="AF4" s="1">
        <f t="shared" si="59"/>
        <v>0</v>
      </c>
      <c r="AG4" s="1">
        <f t="shared" si="59"/>
        <v>0</v>
      </c>
      <c r="AH4" s="1">
        <f t="shared" si="59"/>
        <v>0</v>
      </c>
      <c r="AI4" s="1">
        <f t="shared" si="59"/>
        <v>0</v>
      </c>
      <c r="AJ4" s="1">
        <f t="shared" si="59"/>
        <v>0</v>
      </c>
      <c r="AK4" s="1">
        <f t="shared" si="59"/>
        <v>0</v>
      </c>
      <c r="AL4" s="1">
        <f t="shared" si="59"/>
        <v>0</v>
      </c>
      <c r="AM4" s="1">
        <f t="shared" si="59"/>
        <v>0</v>
      </c>
      <c r="AN4" s="1">
        <f t="shared" si="59"/>
        <v>0</v>
      </c>
      <c r="AO4" s="1">
        <f t="shared" si="59"/>
        <v>0</v>
      </c>
      <c r="AP4" s="1">
        <f t="shared" si="59"/>
        <v>0</v>
      </c>
      <c r="AQ4" s="1">
        <f t="shared" si="59"/>
        <v>0</v>
      </c>
      <c r="AR4" s="1">
        <f t="shared" si="59"/>
        <v>0</v>
      </c>
      <c r="AS4" s="1">
        <f t="shared" si="59"/>
        <v>0</v>
      </c>
      <c r="AT4" s="1">
        <f t="shared" si="59"/>
        <v>0</v>
      </c>
      <c r="AU4" s="1">
        <f t="shared" si="59"/>
        <v>0</v>
      </c>
      <c r="AV4" s="1">
        <f t="shared" si="59"/>
        <v>0</v>
      </c>
      <c r="AW4" s="1">
        <f t="shared" si="59"/>
        <v>0</v>
      </c>
      <c r="AX4" s="1">
        <f t="shared" si="59"/>
        <v>0</v>
      </c>
      <c r="AY4" s="1">
        <f t="shared" si="59"/>
        <v>0</v>
      </c>
      <c r="AZ4" s="1">
        <f t="shared" si="59"/>
        <v>0</v>
      </c>
      <c r="BA4" s="1">
        <f t="shared" ref="BA4:BD4" si="60">SUM(BA136:BA147)</f>
        <v>0</v>
      </c>
      <c r="BB4" s="1">
        <f t="shared" si="60"/>
        <v>0</v>
      </c>
      <c r="BC4" s="1">
        <f t="shared" si="60"/>
        <v>0</v>
      </c>
      <c r="BD4" s="1">
        <f t="shared" si="60"/>
        <v>0</v>
      </c>
      <c r="BE4" s="1">
        <f t="shared" ref="BE4:BF4" si="61">SUM(BE136:BE147)</f>
        <v>0</v>
      </c>
      <c r="BF4" s="1">
        <f t="shared" si="61"/>
        <v>0</v>
      </c>
      <c r="BJ4" s="1" t="b">
        <f>NOT(OR("/",AVERAGE($C$1:$AL$1)&gt;AC$1,SMALL($C$1:$AL$1,1)=AC$1,SMALL($C$1:$AL$1,2)=AC$1,SMALL($C$1:$AL$1,3)=AC$1,LARGE($C$1:$AL$1,1)=AC$1,LARGE($C$1:$AL$1,2)=AC$1,LARGE($C$1:$AL$1,3)=AC$1))</f>
        <v>0</v>
      </c>
      <c r="BK4" s="1" t="e">
        <f>$C$10:$C$147,$E$10:$E$147,$G$10:$G$147,$I$10:$I$147,$K$10:$K$147,$M$10:$M$147,$O$10:$O$147,$Q$10:$Q$147,$S$10:$S$147,$U$10:$U$147,$W$10:$W$147,$Y$10:$Y$147,$AA$10:$AA$147,$AC$10:$AC$147,$AE$10:$AE$147,$AG$10:$AG$147,$AI$10:$AI$147,$AK$10:$AK$147,$AM$10:$AM$147,$AO$10:$AO$147,$AQ$10:$AQ$147,$AS$10:$AS$147,$AU$10:$AU$147,$AW$10:$AW$147,$AY$10:$AY$147,$BA$10:$BA$147,$BC$10:$BC$147,$BE$10:$BE$147</f>
        <v>#VALUE!</v>
      </c>
    </row>
    <row r="5" spans="1:63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62">E6/F6</f>
        <v>6.131455399061033</v>
      </c>
      <c r="F5" s="1" t="s">
        <v>2</v>
      </c>
      <c r="G5" s="1">
        <f t="shared" ref="G5" si="63">G6/H6</f>
        <v>6.8512820512820509</v>
      </c>
      <c r="H5" s="1" t="s">
        <v>2</v>
      </c>
      <c r="I5" s="1">
        <f t="shared" ref="I5" si="64">I6/J6</f>
        <v>6.5287356321839081</v>
      </c>
      <c r="J5" s="1" t="s">
        <v>2</v>
      </c>
      <c r="K5" s="1">
        <f t="shared" ref="K5" si="65">K6/L6</f>
        <v>6.6756756756756754</v>
      </c>
      <c r="L5" s="1" t="s">
        <v>2</v>
      </c>
      <c r="M5" s="1">
        <f t="shared" ref="M5" si="66">M6/N6</f>
        <v>3.8979591836734695</v>
      </c>
      <c r="N5" s="1" t="s">
        <v>2</v>
      </c>
      <c r="O5" s="1">
        <f t="shared" ref="O5" si="67">O6/P6</f>
        <v>5.85</v>
      </c>
      <c r="P5" s="1" t="s">
        <v>2</v>
      </c>
      <c r="Q5" s="1">
        <f t="shared" ref="Q5" si="68">Q6/R6</f>
        <v>5.8133333333333335</v>
      </c>
      <c r="R5" s="1" t="s">
        <v>2</v>
      </c>
      <c r="S5" s="1">
        <f t="shared" ref="S5" si="69">S6/T6</f>
        <v>7.1037735849056602</v>
      </c>
      <c r="T5" s="1" t="s">
        <v>2</v>
      </c>
      <c r="U5" s="1">
        <f t="shared" ref="U5" si="70">U6/V6</f>
        <v>2.096774193548387</v>
      </c>
      <c r="V5" s="1" t="s">
        <v>2</v>
      </c>
      <c r="W5" s="1">
        <f t="shared" ref="W5" si="71">W6/X6</f>
        <v>1.8214285714285714</v>
      </c>
      <c r="X5" s="1" t="s">
        <v>2</v>
      </c>
      <c r="Y5" s="1" t="e">
        <f t="shared" ref="Y5" si="72">Y6/Z6</f>
        <v>#DIV/0!</v>
      </c>
      <c r="Z5" s="1" t="s">
        <v>2</v>
      </c>
      <c r="AA5" s="1">
        <f t="shared" ref="AA5" si="73">AA6/AB6</f>
        <v>2.0249999999999999</v>
      </c>
      <c r="AB5" s="1" t="s">
        <v>2</v>
      </c>
      <c r="AC5" s="1">
        <f t="shared" ref="AC5" si="74">AC6/AD6</f>
        <v>1.6</v>
      </c>
      <c r="AD5" s="1" t="s">
        <v>2</v>
      </c>
      <c r="AE5" s="1">
        <f t="shared" ref="AE5" si="75">AE6/AF6</f>
        <v>9</v>
      </c>
      <c r="AF5" s="1" t="s">
        <v>2</v>
      </c>
      <c r="AG5" s="1">
        <f t="shared" ref="AG5" si="76">AG6/AH6</f>
        <v>6.068965517241379</v>
      </c>
      <c r="AH5" s="1" t="s">
        <v>2</v>
      </c>
      <c r="AI5" s="1" t="e">
        <f t="shared" ref="AI5" si="77">AI6/AJ6</f>
        <v>#DIV/0!</v>
      </c>
      <c r="AJ5" s="1" t="s">
        <v>2</v>
      </c>
      <c r="AK5" s="1">
        <f t="shared" ref="AK5" si="78">AK6/AL6</f>
        <v>7.117647058823529</v>
      </c>
      <c r="AL5" s="1" t="s">
        <v>2</v>
      </c>
      <c r="AM5" s="1" t="e">
        <f t="shared" ref="AM5" si="79">AM6/AN6</f>
        <v>#DIV/0!</v>
      </c>
      <c r="AN5" s="1" t="s">
        <v>2</v>
      </c>
      <c r="AO5" s="1" t="e">
        <f t="shared" ref="AO5" si="80">AO6/AP6</f>
        <v>#DIV/0!</v>
      </c>
      <c r="AP5" s="1" t="s">
        <v>2</v>
      </c>
      <c r="AQ5" s="1">
        <f t="shared" ref="AQ5" si="81">AQ6/AR6</f>
        <v>3.75</v>
      </c>
      <c r="AR5" s="1" t="s">
        <v>2</v>
      </c>
      <c r="AS5" s="1" t="e">
        <f t="shared" ref="AS5" si="82">AS6/AT6</f>
        <v>#DIV/0!</v>
      </c>
      <c r="AT5" s="1" t="s">
        <v>2</v>
      </c>
      <c r="AU5" s="1" t="e">
        <f t="shared" ref="AU5" si="83">AU6/AV6</f>
        <v>#DIV/0!</v>
      </c>
      <c r="AV5" s="1" t="s">
        <v>2</v>
      </c>
      <c r="AW5" s="1" t="e">
        <f t="shared" ref="AW5" si="84">AW6/AX6</f>
        <v>#DIV/0!</v>
      </c>
      <c r="AX5" s="1" t="s">
        <v>2</v>
      </c>
      <c r="AY5" s="1">
        <f t="shared" ref="AY5" si="85">AY6/AZ6</f>
        <v>2.75</v>
      </c>
      <c r="AZ5" s="1" t="s">
        <v>2</v>
      </c>
      <c r="BA5" s="1" t="e">
        <f t="shared" ref="BA5" si="86">BA6/BB6</f>
        <v>#DIV/0!</v>
      </c>
      <c r="BB5" s="1" t="s">
        <v>2</v>
      </c>
      <c r="BC5" s="1" t="e">
        <f t="shared" ref="BC5" si="87">BC6/BD6</f>
        <v>#DIV/0!</v>
      </c>
      <c r="BD5" s="1" t="s">
        <v>2</v>
      </c>
      <c r="BE5" s="1" t="e">
        <f t="shared" ref="BE5" si="88">BE6/BF6</f>
        <v>#DIV/0!</v>
      </c>
      <c r="BF5" s="1" t="s">
        <v>2</v>
      </c>
      <c r="BK5" s="1" t="e">
        <f>$D$10:$D$147,$F$10:$F$147,$H$10:$H$147,$J$10:$J$147,$L$10:$L$147,$N$10:$N$147,$P$10:$P$147,$R$10:$R$147,$T$10:$T$147,$V$10:$V$147,$X$10:$X$147,$Z$10:$Z$147,$AB$10:$AB$147,$AD$10:$AD$147,$AF$10:$AF$147,$AH$10:$AH$147,$AJ$10:$AJ$147,$AL$10:$AL$147,$AN$10:$AN$147,$AP$10:$AP$147,$AR$10:$AR$147,$AT$10:$AT$147,$AV$10:$AV$147,$AX$10:$AX$147,$AZ$10:$AZ$147,$BB$10:$BB$147,$BD$10:$BD$147,$BF$10:$BF$147</f>
        <v>#VALUE!</v>
      </c>
    </row>
    <row r="6" spans="1:63" x14ac:dyDescent="0.3">
      <c r="B6" s="1" t="s">
        <v>3</v>
      </c>
      <c r="C6" s="1">
        <f>SUM(C92:C134)</f>
        <v>1804</v>
      </c>
      <c r="D6" s="1">
        <f>SUM(D92:D134)</f>
        <v>370</v>
      </c>
      <c r="E6" s="1">
        <f t="shared" ref="E6:J6" si="89">SUM(E92:E134)</f>
        <v>1306</v>
      </c>
      <c r="F6" s="1">
        <f t="shared" si="89"/>
        <v>213</v>
      </c>
      <c r="G6" s="1">
        <f t="shared" si="89"/>
        <v>2672</v>
      </c>
      <c r="H6" s="1">
        <f t="shared" si="89"/>
        <v>390</v>
      </c>
      <c r="I6" s="1">
        <f t="shared" si="89"/>
        <v>568</v>
      </c>
      <c r="J6" s="1">
        <f t="shared" si="89"/>
        <v>87</v>
      </c>
      <c r="K6" s="1">
        <f t="shared" ref="K6:AZ6" si="90">SUM(K92:K134)</f>
        <v>494</v>
      </c>
      <c r="L6" s="1">
        <f t="shared" si="90"/>
        <v>74</v>
      </c>
      <c r="M6" s="1">
        <f t="shared" si="90"/>
        <v>573</v>
      </c>
      <c r="N6" s="1">
        <f t="shared" si="90"/>
        <v>147</v>
      </c>
      <c r="O6" s="1">
        <f t="shared" si="90"/>
        <v>117</v>
      </c>
      <c r="P6" s="1">
        <f t="shared" si="90"/>
        <v>20</v>
      </c>
      <c r="Q6" s="1">
        <f t="shared" si="90"/>
        <v>436</v>
      </c>
      <c r="R6" s="1">
        <f t="shared" si="90"/>
        <v>75</v>
      </c>
      <c r="S6" s="1">
        <f t="shared" si="90"/>
        <v>753</v>
      </c>
      <c r="T6" s="1">
        <f t="shared" si="90"/>
        <v>106</v>
      </c>
      <c r="U6" s="1">
        <f t="shared" si="90"/>
        <v>65</v>
      </c>
      <c r="V6" s="1">
        <f t="shared" si="90"/>
        <v>31</v>
      </c>
      <c r="W6" s="1">
        <f t="shared" si="90"/>
        <v>51</v>
      </c>
      <c r="X6" s="1">
        <f t="shared" si="90"/>
        <v>28</v>
      </c>
      <c r="Y6" s="1">
        <f t="shared" si="90"/>
        <v>0</v>
      </c>
      <c r="Z6" s="1">
        <f t="shared" si="90"/>
        <v>0</v>
      </c>
      <c r="AA6" s="1">
        <f t="shared" si="90"/>
        <v>81</v>
      </c>
      <c r="AB6" s="1">
        <f t="shared" si="90"/>
        <v>40</v>
      </c>
      <c r="AC6" s="1">
        <f t="shared" si="90"/>
        <v>16</v>
      </c>
      <c r="AD6" s="1">
        <f t="shared" si="90"/>
        <v>10</v>
      </c>
      <c r="AE6" s="1">
        <f t="shared" si="90"/>
        <v>27</v>
      </c>
      <c r="AF6" s="1">
        <f t="shared" si="90"/>
        <v>3</v>
      </c>
      <c r="AG6" s="1">
        <f t="shared" si="90"/>
        <v>176</v>
      </c>
      <c r="AH6" s="1">
        <f t="shared" si="90"/>
        <v>29</v>
      </c>
      <c r="AI6" s="1">
        <f t="shared" si="90"/>
        <v>0</v>
      </c>
      <c r="AJ6" s="1">
        <f t="shared" si="90"/>
        <v>0</v>
      </c>
      <c r="AK6" s="1">
        <f t="shared" si="90"/>
        <v>121</v>
      </c>
      <c r="AL6" s="1">
        <f t="shared" si="90"/>
        <v>17</v>
      </c>
      <c r="AM6" s="1">
        <f t="shared" si="90"/>
        <v>0</v>
      </c>
      <c r="AN6" s="1">
        <f t="shared" si="90"/>
        <v>0</v>
      </c>
      <c r="AO6" s="1">
        <f t="shared" si="90"/>
        <v>0</v>
      </c>
      <c r="AP6" s="1">
        <f t="shared" si="90"/>
        <v>0</v>
      </c>
      <c r="AQ6" s="1">
        <f t="shared" si="90"/>
        <v>60</v>
      </c>
      <c r="AR6" s="1">
        <f t="shared" si="90"/>
        <v>16</v>
      </c>
      <c r="AS6" s="1">
        <f t="shared" si="90"/>
        <v>0</v>
      </c>
      <c r="AT6" s="1">
        <f t="shared" si="90"/>
        <v>0</v>
      </c>
      <c r="AU6" s="1">
        <f t="shared" si="90"/>
        <v>0</v>
      </c>
      <c r="AV6" s="1">
        <f t="shared" si="90"/>
        <v>0</v>
      </c>
      <c r="AW6" s="1">
        <f t="shared" si="90"/>
        <v>0</v>
      </c>
      <c r="AX6" s="1">
        <f t="shared" si="90"/>
        <v>0</v>
      </c>
      <c r="AY6" s="1">
        <f t="shared" si="90"/>
        <v>22</v>
      </c>
      <c r="AZ6" s="1">
        <f t="shared" si="90"/>
        <v>8</v>
      </c>
      <c r="BA6" s="1">
        <f t="shared" ref="BA6:BD6" si="91">SUM(BA92:BA134)</f>
        <v>0</v>
      </c>
      <c r="BB6" s="1">
        <f t="shared" si="91"/>
        <v>0</v>
      </c>
      <c r="BC6" s="1">
        <f t="shared" si="91"/>
        <v>0</v>
      </c>
      <c r="BD6" s="1">
        <f t="shared" si="91"/>
        <v>0</v>
      </c>
      <c r="BE6" s="1">
        <f t="shared" ref="BE6:BF6" si="92">SUM(BE92:BE134)</f>
        <v>0</v>
      </c>
      <c r="BF6" s="1">
        <f t="shared" si="92"/>
        <v>0</v>
      </c>
    </row>
    <row r="7" spans="1:63" x14ac:dyDescent="0.3">
      <c r="A7" s="15" t="s">
        <v>27</v>
      </c>
      <c r="B7" s="15" t="s">
        <v>1</v>
      </c>
      <c r="C7" s="15">
        <f>C8/D8</f>
        <v>6.2131661442006267</v>
      </c>
      <c r="D7" s="15" t="s">
        <v>2</v>
      </c>
      <c r="E7" s="15">
        <f t="shared" ref="E7" si="93">E8/F8</f>
        <v>6.7380952380952381</v>
      </c>
      <c r="F7" s="15" t="s">
        <v>2</v>
      </c>
      <c r="G7" s="15">
        <f t="shared" ref="G7" si="94">G8/H8</f>
        <v>7.5563524590163933</v>
      </c>
      <c r="H7" s="15" t="s">
        <v>2</v>
      </c>
      <c r="I7" s="15">
        <f t="shared" ref="I7" si="95">I8/J8</f>
        <v>3.0166666666666666</v>
      </c>
      <c r="J7" s="15" t="s">
        <v>2</v>
      </c>
      <c r="K7" s="15">
        <f t="shared" ref="K7" si="96">K8/L8</f>
        <v>4.8636363636363633</v>
      </c>
      <c r="L7" s="15" t="s">
        <v>2</v>
      </c>
      <c r="M7" s="15">
        <f t="shared" ref="M7" si="97">M8/N8</f>
        <v>5.9147869674185465</v>
      </c>
      <c r="N7" s="15" t="s">
        <v>2</v>
      </c>
      <c r="O7" s="15">
        <f t="shared" ref="O7" si="98">O8/P8</f>
        <v>8.1063829787234045</v>
      </c>
      <c r="P7" s="15" t="s">
        <v>2</v>
      </c>
      <c r="Q7" s="15">
        <f t="shared" ref="Q7" si="99">Q8/R8</f>
        <v>6.1867469879518069</v>
      </c>
      <c r="R7" s="15" t="s">
        <v>2</v>
      </c>
      <c r="S7" s="15">
        <f t="shared" ref="S7" si="100">S8/T8</f>
        <v>4.8965517241379306</v>
      </c>
      <c r="T7" s="15" t="s">
        <v>2</v>
      </c>
      <c r="U7" s="15">
        <f t="shared" ref="U7" si="101">U8/V8</f>
        <v>2.9926470588235294</v>
      </c>
      <c r="V7" s="15" t="s">
        <v>2</v>
      </c>
      <c r="W7" s="15">
        <f t="shared" ref="W7" si="102">W8/X8</f>
        <v>1.1000000000000001</v>
      </c>
      <c r="X7" s="15" t="s">
        <v>2</v>
      </c>
      <c r="Y7" s="15" t="e">
        <f t="shared" ref="Y7" si="103">Y8/Z8</f>
        <v>#DIV/0!</v>
      </c>
      <c r="Z7" s="15" t="s">
        <v>2</v>
      </c>
      <c r="AA7" s="15">
        <f t="shared" ref="AA7" si="104">AA8/AB8</f>
        <v>4.845890410958904</v>
      </c>
      <c r="AB7" s="15" t="s">
        <v>2</v>
      </c>
      <c r="AC7" s="15">
        <f t="shared" ref="AC7" si="105">AC8/AD8</f>
        <v>4.944</v>
      </c>
      <c r="AD7" s="15" t="s">
        <v>2</v>
      </c>
      <c r="AE7" s="15">
        <f t="shared" ref="AE7" si="106">AE8/AF8</f>
        <v>0</v>
      </c>
      <c r="AF7" s="15" t="s">
        <v>2</v>
      </c>
      <c r="AG7" s="15" t="e">
        <f t="shared" ref="AG7" si="107">AG8/AH8</f>
        <v>#DIV/0!</v>
      </c>
      <c r="AH7" s="15" t="s">
        <v>2</v>
      </c>
      <c r="AI7" s="15">
        <f t="shared" ref="AI7" si="108">AI8/AJ8</f>
        <v>2.9607843137254903</v>
      </c>
      <c r="AJ7" s="15" t="s">
        <v>2</v>
      </c>
      <c r="AK7" s="15" t="e">
        <f t="shared" ref="AK7" si="109">AK8/AL8</f>
        <v>#DIV/0!</v>
      </c>
      <c r="AL7" s="15" t="s">
        <v>2</v>
      </c>
      <c r="AM7" s="15">
        <f t="shared" ref="AM7" si="110">AM8/AN8</f>
        <v>3.0344827586206895</v>
      </c>
      <c r="AN7" s="15" t="s">
        <v>2</v>
      </c>
      <c r="AO7" s="15">
        <f t="shared" ref="AO7" si="111">AO8/AP8</f>
        <v>-8.3333333333333329E-2</v>
      </c>
      <c r="AP7" s="15" t="s">
        <v>2</v>
      </c>
      <c r="AQ7" s="15">
        <f t="shared" ref="AQ7" si="112">AQ8/AR8</f>
        <v>5.4117647058823533</v>
      </c>
      <c r="AR7" s="15" t="s">
        <v>2</v>
      </c>
      <c r="AS7" s="15">
        <f t="shared" ref="AS7" si="113">AS8/AT8</f>
        <v>0.72727272727272729</v>
      </c>
      <c r="AT7" s="15" t="s">
        <v>2</v>
      </c>
      <c r="AU7" s="15">
        <f t="shared" ref="AU7" si="114">AU8/AV8</f>
        <v>8.5</v>
      </c>
      <c r="AV7" s="15" t="s">
        <v>2</v>
      </c>
      <c r="AW7" s="15">
        <f t="shared" ref="AW7" si="115">AW8/AX8</f>
        <v>2.8</v>
      </c>
      <c r="AX7" s="15" t="s">
        <v>2</v>
      </c>
      <c r="AY7" s="15">
        <f t="shared" ref="AY7" si="116">AY8/AZ8</f>
        <v>4.2</v>
      </c>
      <c r="AZ7" s="15" t="s">
        <v>2</v>
      </c>
      <c r="BA7" s="15">
        <f t="shared" ref="BA7" si="117">BA8/BB8</f>
        <v>17</v>
      </c>
      <c r="BB7" s="15" t="s">
        <v>2</v>
      </c>
      <c r="BC7" s="15">
        <f t="shared" ref="BC7" si="118">BC8/BD8</f>
        <v>3.7647058823529411</v>
      </c>
      <c r="BD7" s="15" t="s">
        <v>2</v>
      </c>
      <c r="BE7" s="15">
        <f t="shared" ref="BE7" si="119">BE8/BF8</f>
        <v>5.916666666666667</v>
      </c>
      <c r="BF7" s="15" t="s">
        <v>2</v>
      </c>
    </row>
    <row r="8" spans="1:63" x14ac:dyDescent="0.3">
      <c r="A8" s="15"/>
      <c r="B8" s="15" t="s">
        <v>3</v>
      </c>
      <c r="C8" s="15">
        <f>SUM(C10:C90)</f>
        <v>1982</v>
      </c>
      <c r="D8" s="15">
        <f>SUM(D10:D90)</f>
        <v>319</v>
      </c>
      <c r="E8" s="15">
        <f t="shared" ref="E8:J8" si="120">SUM(E10:E90)</f>
        <v>849</v>
      </c>
      <c r="F8" s="15">
        <f t="shared" si="120"/>
        <v>126</v>
      </c>
      <c r="G8" s="15">
        <f t="shared" si="120"/>
        <v>3687.5</v>
      </c>
      <c r="H8" s="15">
        <f t="shared" si="120"/>
        <v>488</v>
      </c>
      <c r="I8" s="15">
        <f t="shared" si="120"/>
        <v>181</v>
      </c>
      <c r="J8" s="15">
        <f t="shared" si="120"/>
        <v>60</v>
      </c>
      <c r="K8" s="15">
        <f t="shared" ref="K8:AZ8" si="121">SUM(K10:K90)</f>
        <v>107</v>
      </c>
      <c r="L8" s="15">
        <f t="shared" si="121"/>
        <v>22</v>
      </c>
      <c r="M8" s="15">
        <f t="shared" si="121"/>
        <v>2360</v>
      </c>
      <c r="N8" s="15">
        <f t="shared" si="121"/>
        <v>399</v>
      </c>
      <c r="O8" s="15">
        <f t="shared" si="121"/>
        <v>381</v>
      </c>
      <c r="P8" s="15">
        <f t="shared" si="121"/>
        <v>47</v>
      </c>
      <c r="Q8" s="15">
        <f t="shared" si="121"/>
        <v>1027</v>
      </c>
      <c r="R8" s="15">
        <f t="shared" si="121"/>
        <v>166</v>
      </c>
      <c r="S8" s="15">
        <f t="shared" si="121"/>
        <v>426</v>
      </c>
      <c r="T8" s="15">
        <f t="shared" si="121"/>
        <v>87</v>
      </c>
      <c r="U8" s="15">
        <f t="shared" si="121"/>
        <v>407</v>
      </c>
      <c r="V8" s="15">
        <f t="shared" si="121"/>
        <v>136</v>
      </c>
      <c r="W8" s="15">
        <f t="shared" si="121"/>
        <v>33</v>
      </c>
      <c r="X8" s="15">
        <f t="shared" si="121"/>
        <v>30</v>
      </c>
      <c r="Y8" s="15">
        <f t="shared" si="121"/>
        <v>0</v>
      </c>
      <c r="Z8" s="15">
        <f t="shared" si="121"/>
        <v>0</v>
      </c>
      <c r="AA8" s="15">
        <f t="shared" si="121"/>
        <v>707.5</v>
      </c>
      <c r="AB8" s="15">
        <f t="shared" si="121"/>
        <v>146</v>
      </c>
      <c r="AC8" s="15">
        <f t="shared" si="121"/>
        <v>618</v>
      </c>
      <c r="AD8" s="15">
        <f t="shared" si="121"/>
        <v>125</v>
      </c>
      <c r="AE8" s="15">
        <f t="shared" si="121"/>
        <v>0</v>
      </c>
      <c r="AF8" s="15">
        <f t="shared" si="121"/>
        <v>2</v>
      </c>
      <c r="AG8" s="15">
        <f t="shared" si="121"/>
        <v>0</v>
      </c>
      <c r="AH8" s="15">
        <f t="shared" si="121"/>
        <v>0</v>
      </c>
      <c r="AI8" s="15">
        <f t="shared" si="121"/>
        <v>151</v>
      </c>
      <c r="AJ8" s="15">
        <f t="shared" si="121"/>
        <v>51</v>
      </c>
      <c r="AK8" s="15">
        <f t="shared" si="121"/>
        <v>0</v>
      </c>
      <c r="AL8" s="15">
        <f t="shared" si="121"/>
        <v>0</v>
      </c>
      <c r="AM8" s="15">
        <f t="shared" si="121"/>
        <v>176</v>
      </c>
      <c r="AN8" s="15">
        <f t="shared" si="121"/>
        <v>58</v>
      </c>
      <c r="AO8" s="15">
        <f t="shared" si="121"/>
        <v>-1</v>
      </c>
      <c r="AP8" s="15">
        <f t="shared" si="121"/>
        <v>12</v>
      </c>
      <c r="AQ8" s="15">
        <f t="shared" si="121"/>
        <v>276</v>
      </c>
      <c r="AR8" s="15">
        <f t="shared" si="121"/>
        <v>51</v>
      </c>
      <c r="AS8" s="15">
        <f t="shared" si="121"/>
        <v>8</v>
      </c>
      <c r="AT8" s="15">
        <f t="shared" si="121"/>
        <v>11</v>
      </c>
      <c r="AU8" s="15">
        <f t="shared" si="121"/>
        <v>34</v>
      </c>
      <c r="AV8" s="15">
        <f t="shared" si="121"/>
        <v>4</v>
      </c>
      <c r="AW8" s="15">
        <f t="shared" si="121"/>
        <v>14</v>
      </c>
      <c r="AX8" s="15">
        <f t="shared" si="121"/>
        <v>5</v>
      </c>
      <c r="AY8" s="15">
        <f t="shared" si="121"/>
        <v>21</v>
      </c>
      <c r="AZ8" s="15">
        <f t="shared" si="121"/>
        <v>5</v>
      </c>
      <c r="BA8" s="15">
        <f t="shared" ref="BA8:BD8" si="122">SUM(BA10:BA90)</f>
        <v>34</v>
      </c>
      <c r="BB8" s="15">
        <f t="shared" si="122"/>
        <v>2</v>
      </c>
      <c r="BC8" s="15">
        <f t="shared" si="122"/>
        <v>64</v>
      </c>
      <c r="BD8" s="15">
        <f t="shared" si="122"/>
        <v>17</v>
      </c>
      <c r="BE8" s="15">
        <f t="shared" ref="BE8:BF8" si="123">SUM(BE10:BE90)</f>
        <v>426</v>
      </c>
      <c r="BF8" s="15">
        <f t="shared" si="123"/>
        <v>72</v>
      </c>
    </row>
    <row r="9" spans="1:63" x14ac:dyDescent="0.3">
      <c r="C9" s="27" t="s">
        <v>70</v>
      </c>
      <c r="D9" s="27"/>
      <c r="E9" s="27" t="s">
        <v>71</v>
      </c>
      <c r="F9" s="27"/>
      <c r="G9" s="27" t="s">
        <v>72</v>
      </c>
      <c r="H9" s="27"/>
      <c r="I9" s="27" t="s">
        <v>73</v>
      </c>
      <c r="J9" s="27"/>
      <c r="K9" s="27" t="s">
        <v>74</v>
      </c>
      <c r="L9" s="27"/>
      <c r="M9" s="27" t="s">
        <v>75</v>
      </c>
      <c r="N9" s="27"/>
      <c r="O9" s="27" t="s">
        <v>76</v>
      </c>
      <c r="P9" s="27"/>
      <c r="Q9" s="27" t="s">
        <v>77</v>
      </c>
      <c r="R9" s="27"/>
      <c r="S9" s="27" t="s">
        <v>78</v>
      </c>
      <c r="T9" s="27"/>
      <c r="U9" s="27" t="s">
        <v>79</v>
      </c>
      <c r="V9" s="27"/>
      <c r="W9" s="27" t="s">
        <v>80</v>
      </c>
      <c r="X9" s="27"/>
      <c r="Y9" s="27" t="s">
        <v>81</v>
      </c>
      <c r="Z9" s="27"/>
      <c r="AA9" s="27" t="s">
        <v>82</v>
      </c>
      <c r="AB9" s="27"/>
      <c r="AC9" s="27" t="s">
        <v>6</v>
      </c>
      <c r="AD9" s="27"/>
      <c r="AE9" s="27" t="s">
        <v>83</v>
      </c>
      <c r="AF9" s="27"/>
      <c r="AG9" s="27" t="s">
        <v>84</v>
      </c>
      <c r="AH9" s="27"/>
      <c r="AI9" s="27" t="s">
        <v>85</v>
      </c>
      <c r="AJ9" s="27"/>
      <c r="AK9" s="27" t="s">
        <v>86</v>
      </c>
      <c r="AL9" s="27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7" t="s">
        <v>90</v>
      </c>
      <c r="BB9" s="27"/>
      <c r="BC9" s="27" t="s">
        <v>33</v>
      </c>
      <c r="BD9" s="27"/>
      <c r="BE9" s="27" t="s">
        <v>34</v>
      </c>
      <c r="BF9" s="27"/>
    </row>
    <row r="10" spans="1:63" x14ac:dyDescent="0.3">
      <c r="B10" s="1">
        <v>136</v>
      </c>
    </row>
    <row r="11" spans="1:63" x14ac:dyDescent="0.3">
      <c r="B11" s="1">
        <v>135</v>
      </c>
    </row>
    <row r="12" spans="1:63" x14ac:dyDescent="0.3">
      <c r="B12" s="1">
        <v>134</v>
      </c>
    </row>
    <row r="13" spans="1:63" x14ac:dyDescent="0.3">
      <c r="B13" s="1">
        <v>133</v>
      </c>
    </row>
    <row r="14" spans="1:63" x14ac:dyDescent="0.3">
      <c r="B14" s="1">
        <v>132</v>
      </c>
    </row>
    <row r="15" spans="1:63" x14ac:dyDescent="0.3">
      <c r="B15" s="1">
        <v>131</v>
      </c>
    </row>
    <row r="16" spans="1:63" x14ac:dyDescent="0.3">
      <c r="B16" s="1">
        <v>130</v>
      </c>
    </row>
    <row r="17" spans="1:58" x14ac:dyDescent="0.3">
      <c r="B17" s="1">
        <v>129</v>
      </c>
    </row>
    <row r="18" spans="1:58" x14ac:dyDescent="0.3">
      <c r="B18" s="1">
        <v>128</v>
      </c>
      <c r="M18" s="1">
        <v>76</v>
      </c>
      <c r="N18" s="1">
        <v>8</v>
      </c>
      <c r="Q18" s="1">
        <v>50</v>
      </c>
      <c r="R18" s="1">
        <v>8</v>
      </c>
      <c r="AC18" s="1">
        <v>26</v>
      </c>
      <c r="AD18" s="1">
        <v>8</v>
      </c>
      <c r="AM18" s="1">
        <v>32</v>
      </c>
      <c r="AN18" s="1">
        <v>8</v>
      </c>
      <c r="BE18" s="1">
        <v>45</v>
      </c>
      <c r="BF18" s="1">
        <v>8</v>
      </c>
    </row>
    <row r="19" spans="1:58" x14ac:dyDescent="0.3">
      <c r="B19" s="1">
        <v>127</v>
      </c>
    </row>
    <row r="20" spans="1:58" x14ac:dyDescent="0.3">
      <c r="B20" s="1">
        <v>126</v>
      </c>
      <c r="G20" s="1">
        <v>54</v>
      </c>
      <c r="H20" s="1">
        <v>10</v>
      </c>
      <c r="M20" s="1">
        <v>88</v>
      </c>
      <c r="N20" s="1">
        <v>10</v>
      </c>
      <c r="Q20" s="1">
        <v>43</v>
      </c>
      <c r="R20" s="1">
        <v>10</v>
      </c>
      <c r="U20" s="1">
        <v>32</v>
      </c>
      <c r="V20" s="1">
        <v>10</v>
      </c>
    </row>
    <row r="21" spans="1:58" x14ac:dyDescent="0.3">
      <c r="B21" s="1">
        <v>125</v>
      </c>
      <c r="M21" s="1">
        <v>13</v>
      </c>
      <c r="N21" s="1">
        <v>4</v>
      </c>
      <c r="O21" s="1">
        <v>13</v>
      </c>
      <c r="P21" s="1">
        <v>4</v>
      </c>
      <c r="AM21" s="1">
        <v>26</v>
      </c>
      <c r="AN21" s="1">
        <v>4</v>
      </c>
      <c r="AQ21" s="1">
        <v>44</v>
      </c>
      <c r="AR21" s="1">
        <v>4</v>
      </c>
    </row>
    <row r="22" spans="1:58" x14ac:dyDescent="0.3">
      <c r="B22" s="1">
        <v>124</v>
      </c>
      <c r="G22" s="1">
        <v>112</v>
      </c>
      <c r="H22" s="1">
        <v>10</v>
      </c>
      <c r="M22" s="1">
        <v>23</v>
      </c>
      <c r="N22" s="1">
        <v>10</v>
      </c>
      <c r="Q22" s="1">
        <v>103</v>
      </c>
      <c r="R22" s="1">
        <v>10</v>
      </c>
      <c r="AC22" s="1">
        <v>57</v>
      </c>
      <c r="AD22" s="1">
        <v>11</v>
      </c>
      <c r="BE22" s="1">
        <v>36</v>
      </c>
      <c r="BF22" s="1">
        <v>7</v>
      </c>
    </row>
    <row r="23" spans="1:58" x14ac:dyDescent="0.3">
      <c r="A23" s="1" t="s">
        <v>7</v>
      </c>
      <c r="B23" s="1">
        <v>123</v>
      </c>
      <c r="G23" s="1">
        <v>119</v>
      </c>
      <c r="H23" s="1">
        <v>12</v>
      </c>
      <c r="M23" s="1">
        <v>68</v>
      </c>
      <c r="N23" s="1">
        <v>12</v>
      </c>
      <c r="U23" s="1">
        <v>33</v>
      </c>
      <c r="V23" s="1">
        <v>12</v>
      </c>
      <c r="AA23" s="1">
        <v>74</v>
      </c>
      <c r="AB23" s="1">
        <v>12</v>
      </c>
    </row>
    <row r="24" spans="1:58" x14ac:dyDescent="0.3">
      <c r="B24" s="1">
        <v>122</v>
      </c>
      <c r="C24" s="1">
        <v>28</v>
      </c>
      <c r="D24" s="1">
        <v>8</v>
      </c>
      <c r="G24" s="1">
        <v>46</v>
      </c>
      <c r="H24" s="1">
        <v>8</v>
      </c>
      <c r="M24" s="1">
        <v>41</v>
      </c>
      <c r="N24" s="1">
        <v>8</v>
      </c>
      <c r="Q24" s="1">
        <v>36</v>
      </c>
      <c r="R24" s="1">
        <v>8</v>
      </c>
    </row>
    <row r="25" spans="1:58" x14ac:dyDescent="0.3">
      <c r="B25" s="1">
        <v>121</v>
      </c>
      <c r="Q25" s="1">
        <v>59</v>
      </c>
      <c r="R25" s="1">
        <v>5</v>
      </c>
      <c r="AA25" s="1">
        <v>53</v>
      </c>
      <c r="AB25" s="1">
        <v>5</v>
      </c>
      <c r="AC25" s="1">
        <v>24</v>
      </c>
      <c r="AD25" s="1">
        <v>4</v>
      </c>
      <c r="AQ25" s="1">
        <v>51</v>
      </c>
      <c r="AR25" s="1">
        <v>5</v>
      </c>
      <c r="BE25" s="1">
        <v>13</v>
      </c>
      <c r="BF25" s="1">
        <v>5</v>
      </c>
    </row>
    <row r="26" spans="1:58" x14ac:dyDescent="0.3">
      <c r="B26" s="1">
        <v>120</v>
      </c>
      <c r="C26" s="1">
        <v>98</v>
      </c>
      <c r="D26" s="1">
        <v>16</v>
      </c>
      <c r="G26" s="1">
        <v>120</v>
      </c>
      <c r="H26" s="1">
        <v>16</v>
      </c>
      <c r="M26" s="1">
        <v>156</v>
      </c>
      <c r="N26" s="1">
        <v>16</v>
      </c>
      <c r="O26" s="1">
        <v>98</v>
      </c>
      <c r="P26" s="1">
        <v>16</v>
      </c>
      <c r="AM26" s="1">
        <v>27</v>
      </c>
      <c r="AN26" s="1">
        <v>16</v>
      </c>
    </row>
    <row r="27" spans="1:58" x14ac:dyDescent="0.3">
      <c r="B27" s="1">
        <v>119</v>
      </c>
      <c r="G27" s="1">
        <v>114</v>
      </c>
      <c r="H27" s="1">
        <v>12</v>
      </c>
      <c r="M27" s="1">
        <v>98</v>
      </c>
      <c r="N27" s="1">
        <v>12</v>
      </c>
      <c r="AA27" s="1">
        <v>46</v>
      </c>
      <c r="AB27" s="1">
        <v>12</v>
      </c>
      <c r="AQ27" s="1">
        <v>64</v>
      </c>
      <c r="AR27" s="1">
        <v>12</v>
      </c>
    </row>
    <row r="28" spans="1:58" x14ac:dyDescent="0.3">
      <c r="B28" s="1">
        <v>118</v>
      </c>
      <c r="G28" s="1">
        <v>39</v>
      </c>
      <c r="H28" s="1">
        <v>8</v>
      </c>
      <c r="M28" s="1">
        <v>54</v>
      </c>
      <c r="N28" s="1">
        <v>8</v>
      </c>
      <c r="AC28" s="1">
        <v>34</v>
      </c>
      <c r="AD28" s="1">
        <v>8</v>
      </c>
      <c r="AQ28" s="1">
        <v>62</v>
      </c>
      <c r="AR28" s="1">
        <v>8</v>
      </c>
    </row>
    <row r="29" spans="1:58" x14ac:dyDescent="0.3">
      <c r="B29" s="1">
        <v>117</v>
      </c>
      <c r="C29" s="1">
        <v>22</v>
      </c>
      <c r="D29" s="1">
        <v>3</v>
      </c>
      <c r="Q29" s="1">
        <v>0</v>
      </c>
      <c r="R29" s="1">
        <v>3</v>
      </c>
      <c r="S29" s="1">
        <v>0</v>
      </c>
      <c r="T29" s="1">
        <v>3</v>
      </c>
      <c r="AC29" s="1">
        <v>49</v>
      </c>
      <c r="AD29" s="1">
        <v>4</v>
      </c>
      <c r="AI29" s="1">
        <v>28</v>
      </c>
      <c r="AJ29" s="1">
        <v>3</v>
      </c>
    </row>
    <row r="30" spans="1:58" x14ac:dyDescent="0.3">
      <c r="B30" s="1">
        <v>116</v>
      </c>
      <c r="C30" s="1">
        <v>130</v>
      </c>
      <c r="D30" s="1">
        <v>12</v>
      </c>
      <c r="M30" s="1">
        <v>45</v>
      </c>
      <c r="N30" s="1">
        <v>12</v>
      </c>
      <c r="AC30" s="1">
        <v>69</v>
      </c>
      <c r="AD30" s="1">
        <v>12</v>
      </c>
      <c r="AI30" s="1">
        <v>31</v>
      </c>
      <c r="AJ30" s="1">
        <v>12</v>
      </c>
    </row>
    <row r="31" spans="1:58" x14ac:dyDescent="0.3">
      <c r="A31" s="1" t="s">
        <v>7</v>
      </c>
      <c r="B31" s="1">
        <v>115</v>
      </c>
      <c r="G31" s="1">
        <v>20</v>
      </c>
      <c r="H31" s="1">
        <v>4</v>
      </c>
      <c r="M31" s="1">
        <v>49</v>
      </c>
      <c r="N31" s="1">
        <v>4</v>
      </c>
      <c r="Q31" s="1">
        <v>24</v>
      </c>
      <c r="R31" s="1">
        <v>4</v>
      </c>
      <c r="AC31" s="1">
        <v>13</v>
      </c>
      <c r="AD31" s="1">
        <v>4</v>
      </c>
      <c r="BE31" s="1">
        <v>25</v>
      </c>
      <c r="BF31" s="1">
        <v>4</v>
      </c>
    </row>
    <row r="32" spans="1:58" x14ac:dyDescent="0.3">
      <c r="A32" s="1" t="s">
        <v>7</v>
      </c>
      <c r="B32" s="1">
        <v>114</v>
      </c>
      <c r="M32" s="1">
        <v>47</v>
      </c>
      <c r="N32" s="1">
        <v>3</v>
      </c>
      <c r="AC32" s="1">
        <v>0</v>
      </c>
      <c r="AD32" s="1">
        <v>3</v>
      </c>
      <c r="AM32" s="1">
        <v>0</v>
      </c>
      <c r="AN32" s="1">
        <v>3</v>
      </c>
      <c r="BE32" s="1">
        <v>13</v>
      </c>
      <c r="BF32" s="1">
        <v>3</v>
      </c>
    </row>
    <row r="33" spans="1:58" x14ac:dyDescent="0.3">
      <c r="A33" s="1" t="s">
        <v>7</v>
      </c>
      <c r="B33" s="1">
        <v>113</v>
      </c>
      <c r="C33" s="1">
        <v>31</v>
      </c>
      <c r="D33" s="1">
        <v>12</v>
      </c>
      <c r="G33" s="1">
        <v>131</v>
      </c>
      <c r="H33" s="1">
        <v>12</v>
      </c>
      <c r="M33" s="1">
        <v>102</v>
      </c>
      <c r="N33" s="1">
        <v>12</v>
      </c>
      <c r="U33" s="1">
        <v>10</v>
      </c>
      <c r="V33" s="1">
        <v>12</v>
      </c>
    </row>
    <row r="34" spans="1:58" x14ac:dyDescent="0.3">
      <c r="A34" s="1" t="s">
        <v>7</v>
      </c>
      <c r="B34" s="1">
        <v>112</v>
      </c>
      <c r="M34" s="1">
        <v>8</v>
      </c>
      <c r="N34" s="1">
        <v>5</v>
      </c>
      <c r="S34" s="1">
        <v>28</v>
      </c>
      <c r="T34" s="1">
        <v>5</v>
      </c>
      <c r="AC34" s="1">
        <v>35</v>
      </c>
      <c r="AD34" s="1">
        <v>5</v>
      </c>
      <c r="AY34" s="1">
        <v>21</v>
      </c>
      <c r="AZ34" s="1">
        <v>5</v>
      </c>
    </row>
    <row r="35" spans="1:58" x14ac:dyDescent="0.3">
      <c r="A35" s="1" t="s">
        <v>7</v>
      </c>
      <c r="B35" s="1">
        <v>111</v>
      </c>
      <c r="M35" s="1">
        <v>97</v>
      </c>
      <c r="N35" s="1">
        <v>8</v>
      </c>
      <c r="Q35" s="1">
        <v>45</v>
      </c>
      <c r="R35" s="1">
        <v>8</v>
      </c>
      <c r="AA35" s="1">
        <v>1</v>
      </c>
      <c r="AB35" s="1">
        <v>8</v>
      </c>
      <c r="AC35" s="1">
        <v>31</v>
      </c>
      <c r="AD35" s="1">
        <v>8</v>
      </c>
      <c r="BE35" s="1">
        <v>65</v>
      </c>
      <c r="BF35" s="1">
        <v>8</v>
      </c>
    </row>
    <row r="36" spans="1:58" x14ac:dyDescent="0.3">
      <c r="A36" s="1" t="s">
        <v>7</v>
      </c>
      <c r="B36" s="1">
        <v>110</v>
      </c>
      <c r="M36" s="1">
        <v>36</v>
      </c>
      <c r="N36" s="1">
        <v>7</v>
      </c>
      <c r="Q36" s="1">
        <v>79</v>
      </c>
      <c r="R36" s="1">
        <v>7</v>
      </c>
      <c r="S36" s="1">
        <v>-1</v>
      </c>
      <c r="T36" s="1">
        <v>7</v>
      </c>
      <c r="AC36" s="1">
        <v>47</v>
      </c>
      <c r="AD36" s="1">
        <v>7</v>
      </c>
    </row>
    <row r="37" spans="1:58" x14ac:dyDescent="0.3">
      <c r="A37" s="1" t="s">
        <v>7</v>
      </c>
      <c r="B37" s="1">
        <v>109</v>
      </c>
      <c r="G37" s="1">
        <v>40</v>
      </c>
      <c r="H37" s="1">
        <v>3</v>
      </c>
      <c r="Q37" s="1">
        <v>14</v>
      </c>
      <c r="R37" s="1">
        <v>3</v>
      </c>
      <c r="AC37" s="1">
        <v>15</v>
      </c>
      <c r="AD37" s="1">
        <v>3</v>
      </c>
      <c r="AM37" s="1">
        <v>9</v>
      </c>
      <c r="AN37" s="1">
        <v>1</v>
      </c>
      <c r="BE37" s="1">
        <v>17</v>
      </c>
      <c r="BF37" s="1">
        <v>2</v>
      </c>
    </row>
    <row r="38" spans="1:58" x14ac:dyDescent="0.3">
      <c r="A38" s="1" t="s">
        <v>7</v>
      </c>
      <c r="B38" s="1">
        <v>108</v>
      </c>
      <c r="Q38" s="1">
        <v>64</v>
      </c>
      <c r="R38" s="1">
        <v>11</v>
      </c>
      <c r="AA38" s="1">
        <v>15</v>
      </c>
      <c r="AB38" s="1">
        <v>11</v>
      </c>
      <c r="AM38" s="1">
        <v>53</v>
      </c>
      <c r="AN38" s="1">
        <v>11</v>
      </c>
      <c r="BE38" s="1">
        <v>96</v>
      </c>
      <c r="BF38" s="1">
        <v>11</v>
      </c>
    </row>
    <row r="39" spans="1:58" x14ac:dyDescent="0.3">
      <c r="A39" s="1" t="s">
        <v>7</v>
      </c>
      <c r="B39" s="1">
        <v>107</v>
      </c>
      <c r="G39" s="1">
        <v>77</v>
      </c>
      <c r="H39" s="1">
        <v>7</v>
      </c>
      <c r="M39" s="1">
        <v>63</v>
      </c>
      <c r="N39" s="1">
        <v>7</v>
      </c>
      <c r="S39" s="1">
        <v>14</v>
      </c>
      <c r="T39" s="1">
        <v>7</v>
      </c>
      <c r="AM39" s="1">
        <v>8</v>
      </c>
      <c r="AN39" s="1">
        <v>7</v>
      </c>
    </row>
    <row r="40" spans="1:58" x14ac:dyDescent="0.3">
      <c r="A40" s="1" t="s">
        <v>7</v>
      </c>
      <c r="B40" s="1">
        <v>106</v>
      </c>
      <c r="C40" s="1">
        <v>98</v>
      </c>
      <c r="D40" s="1">
        <v>16</v>
      </c>
      <c r="G40" s="1">
        <v>189</v>
      </c>
      <c r="H40" s="1">
        <v>16</v>
      </c>
      <c r="M40" s="1">
        <v>83</v>
      </c>
      <c r="N40" s="1">
        <v>16</v>
      </c>
      <c r="AC40" s="1">
        <v>54</v>
      </c>
      <c r="AD40" s="1">
        <v>16</v>
      </c>
    </row>
    <row r="41" spans="1:58" x14ac:dyDescent="0.3">
      <c r="A41" s="1" t="s">
        <v>7</v>
      </c>
      <c r="B41" s="1">
        <v>105</v>
      </c>
      <c r="C41" s="1">
        <v>79</v>
      </c>
      <c r="D41" s="1">
        <v>6</v>
      </c>
      <c r="Q41" s="1">
        <v>9</v>
      </c>
      <c r="R41" s="1">
        <v>7</v>
      </c>
      <c r="AA41" s="1">
        <v>13</v>
      </c>
      <c r="AB41" s="1">
        <v>6</v>
      </c>
      <c r="AC41" s="1">
        <v>21</v>
      </c>
      <c r="AD41" s="1">
        <v>6</v>
      </c>
      <c r="BE41" s="1">
        <v>20</v>
      </c>
      <c r="BF41" s="1">
        <v>7</v>
      </c>
    </row>
    <row r="42" spans="1:58" x14ac:dyDescent="0.3">
      <c r="A42" s="1" t="s">
        <v>7</v>
      </c>
      <c r="B42" s="1">
        <v>104</v>
      </c>
      <c r="G42" s="1">
        <v>103</v>
      </c>
      <c r="H42" s="1">
        <v>9</v>
      </c>
      <c r="M42" s="1">
        <v>31</v>
      </c>
      <c r="N42" s="1">
        <v>9</v>
      </c>
      <c r="S42" s="1">
        <v>64</v>
      </c>
      <c r="T42" s="1">
        <v>9</v>
      </c>
      <c r="AA42" s="1">
        <v>62</v>
      </c>
      <c r="AB42" s="1">
        <v>9</v>
      </c>
    </row>
    <row r="43" spans="1:58" x14ac:dyDescent="0.3">
      <c r="A43" s="1" t="s">
        <v>7</v>
      </c>
      <c r="B43" s="1">
        <v>103</v>
      </c>
      <c r="G43" s="1">
        <v>172</v>
      </c>
      <c r="H43" s="1">
        <v>17</v>
      </c>
      <c r="M43" s="1">
        <v>81</v>
      </c>
      <c r="N43" s="1">
        <v>17</v>
      </c>
      <c r="AQ43" s="1">
        <v>55</v>
      </c>
      <c r="AR43" s="1">
        <v>17</v>
      </c>
      <c r="BC43" s="1">
        <v>64</v>
      </c>
      <c r="BD43" s="1">
        <v>17</v>
      </c>
      <c r="BE43" s="1">
        <v>96</v>
      </c>
      <c r="BF43" s="1">
        <v>17</v>
      </c>
    </row>
    <row r="44" spans="1:58" x14ac:dyDescent="0.3">
      <c r="A44" s="1" t="s">
        <v>7</v>
      </c>
      <c r="B44" s="1">
        <v>102</v>
      </c>
      <c r="G44" s="1">
        <v>12</v>
      </c>
      <c r="H44" s="1">
        <v>5</v>
      </c>
      <c r="M44" s="1">
        <v>56</v>
      </c>
      <c r="N44" s="1">
        <v>5</v>
      </c>
      <c r="S44" s="1">
        <v>41</v>
      </c>
      <c r="T44" s="1">
        <v>5</v>
      </c>
      <c r="AQ44" s="1">
        <v>0</v>
      </c>
      <c r="AR44" s="1">
        <v>5</v>
      </c>
    </row>
    <row r="45" spans="1:58" x14ac:dyDescent="0.3">
      <c r="A45" s="1" t="s">
        <v>7</v>
      </c>
      <c r="B45" s="1">
        <v>101</v>
      </c>
      <c r="C45" s="1">
        <v>99</v>
      </c>
      <c r="D45" s="1">
        <v>12</v>
      </c>
      <c r="G45" s="1">
        <v>142</v>
      </c>
      <c r="H45" s="1">
        <v>12</v>
      </c>
      <c r="M45" s="1">
        <v>-30</v>
      </c>
      <c r="N45" s="1">
        <v>12</v>
      </c>
      <c r="AC45" s="1">
        <v>87</v>
      </c>
      <c r="AD45" s="1">
        <v>12</v>
      </c>
      <c r="AI45" s="1">
        <v>50</v>
      </c>
      <c r="AJ45" s="1">
        <v>12</v>
      </c>
    </row>
    <row r="46" spans="1:58" x14ac:dyDescent="0.3">
      <c r="A46" s="1" t="s">
        <v>7</v>
      </c>
      <c r="B46" s="1">
        <v>100</v>
      </c>
      <c r="C46" s="1">
        <v>22</v>
      </c>
      <c r="D46" s="1">
        <v>4</v>
      </c>
      <c r="G46" s="1">
        <v>44</v>
      </c>
      <c r="H46" s="1">
        <v>6</v>
      </c>
      <c r="M46" s="1">
        <v>8</v>
      </c>
      <c r="N46" s="1">
        <v>6</v>
      </c>
      <c r="Q46" s="1">
        <v>58</v>
      </c>
      <c r="R46" s="1">
        <v>6</v>
      </c>
      <c r="AC46" s="1">
        <v>48</v>
      </c>
      <c r="AD46" s="1">
        <v>6</v>
      </c>
      <c r="AE46" s="1" t="s">
        <v>29</v>
      </c>
    </row>
    <row r="47" spans="1:58" x14ac:dyDescent="0.3">
      <c r="A47" s="1" t="s">
        <v>7</v>
      </c>
      <c r="B47" s="1">
        <v>99</v>
      </c>
      <c r="G47" s="1">
        <v>24</v>
      </c>
      <c r="H47" s="1">
        <v>4</v>
      </c>
      <c r="M47" s="1">
        <v>21</v>
      </c>
      <c r="N47" s="1">
        <v>4</v>
      </c>
      <c r="U47" s="1">
        <v>50</v>
      </c>
      <c r="V47" s="1">
        <v>4</v>
      </c>
      <c r="AC47" s="1">
        <v>0</v>
      </c>
      <c r="AD47" s="1">
        <v>4</v>
      </c>
    </row>
    <row r="48" spans="1:58" x14ac:dyDescent="0.3">
      <c r="A48" s="1" t="s">
        <v>7</v>
      </c>
      <c r="B48" s="1">
        <v>98</v>
      </c>
      <c r="G48" s="1">
        <v>50</v>
      </c>
      <c r="H48" s="1">
        <v>5</v>
      </c>
      <c r="M48" s="1">
        <v>49</v>
      </c>
      <c r="N48" s="1">
        <v>5</v>
      </c>
      <c r="U48" s="1">
        <v>22</v>
      </c>
      <c r="V48" s="1">
        <v>5</v>
      </c>
      <c r="AA48" s="1">
        <v>0</v>
      </c>
      <c r="AB48" s="1">
        <v>5</v>
      </c>
    </row>
    <row r="49" spans="1:71" x14ac:dyDescent="0.3">
      <c r="A49" s="1" t="s">
        <v>7</v>
      </c>
      <c r="B49" s="1">
        <v>97</v>
      </c>
      <c r="C49" s="1">
        <v>60</v>
      </c>
      <c r="D49" s="1">
        <v>8</v>
      </c>
      <c r="G49" s="1">
        <v>-4</v>
      </c>
      <c r="H49" s="1">
        <v>8</v>
      </c>
      <c r="Q49" s="1">
        <v>9</v>
      </c>
      <c r="R49" s="1">
        <v>8</v>
      </c>
      <c r="AA49" s="1">
        <v>67</v>
      </c>
      <c r="AB49" s="1">
        <v>8</v>
      </c>
    </row>
    <row r="50" spans="1:71" x14ac:dyDescent="0.3">
      <c r="A50" s="1" t="s">
        <v>7</v>
      </c>
      <c r="B50" s="1">
        <v>96</v>
      </c>
      <c r="C50" s="1">
        <v>59</v>
      </c>
      <c r="D50" s="1">
        <v>4</v>
      </c>
      <c r="G50" s="1">
        <v>48</v>
      </c>
      <c r="H50" s="1">
        <v>4</v>
      </c>
      <c r="Q50" s="1">
        <v>28</v>
      </c>
      <c r="R50" s="1">
        <v>4</v>
      </c>
      <c r="U50" s="1">
        <v>-31</v>
      </c>
      <c r="V50" s="1">
        <v>4</v>
      </c>
    </row>
    <row r="51" spans="1:71" x14ac:dyDescent="0.3">
      <c r="A51" s="1" t="s">
        <v>7</v>
      </c>
      <c r="B51" s="1">
        <v>95</v>
      </c>
      <c r="C51" s="1">
        <v>46</v>
      </c>
      <c r="D51" s="1">
        <v>8</v>
      </c>
      <c r="G51" s="1">
        <v>90</v>
      </c>
      <c r="H51" s="1">
        <v>8</v>
      </c>
      <c r="Q51" s="1">
        <v>58</v>
      </c>
      <c r="R51" s="1">
        <v>8</v>
      </c>
      <c r="AI51" s="1">
        <v>13</v>
      </c>
      <c r="AJ51" s="1">
        <v>8</v>
      </c>
    </row>
    <row r="52" spans="1:71" x14ac:dyDescent="0.3">
      <c r="A52" s="1" t="s">
        <v>7</v>
      </c>
      <c r="B52" s="1">
        <v>94</v>
      </c>
      <c r="C52" s="1">
        <v>30</v>
      </c>
      <c r="D52" s="1">
        <v>8</v>
      </c>
      <c r="G52" s="1">
        <v>62</v>
      </c>
      <c r="H52" s="1">
        <v>8</v>
      </c>
      <c r="K52" s="1">
        <v>86</v>
      </c>
      <c r="L52" s="1">
        <v>8</v>
      </c>
      <c r="M52" s="1">
        <v>0</v>
      </c>
      <c r="N52" s="1">
        <v>8</v>
      </c>
    </row>
    <row r="53" spans="1:71" x14ac:dyDescent="0.3">
      <c r="A53" s="1" t="s">
        <v>7</v>
      </c>
      <c r="B53" s="1">
        <v>93</v>
      </c>
      <c r="G53" s="1">
        <v>130</v>
      </c>
      <c r="H53" s="1">
        <v>20</v>
      </c>
      <c r="M53" s="1">
        <v>108</v>
      </c>
      <c r="N53" s="1">
        <v>20</v>
      </c>
      <c r="U53" s="1">
        <v>99</v>
      </c>
      <c r="V53" s="1">
        <v>20</v>
      </c>
      <c r="AA53" s="1">
        <v>99</v>
      </c>
      <c r="AB53" s="1">
        <v>20</v>
      </c>
    </row>
    <row r="54" spans="1:71" x14ac:dyDescent="0.3">
      <c r="A54" s="1" t="s">
        <v>7</v>
      </c>
      <c r="B54" s="1">
        <v>92</v>
      </c>
      <c r="C54" s="1">
        <v>13</v>
      </c>
      <c r="D54" s="1">
        <v>4</v>
      </c>
      <c r="G54" s="1">
        <v>25</v>
      </c>
      <c r="H54" s="1">
        <v>4</v>
      </c>
      <c r="M54" s="1">
        <v>13</v>
      </c>
      <c r="N54" s="1">
        <v>4</v>
      </c>
      <c r="U54" s="1">
        <v>34</v>
      </c>
      <c r="V54" s="1">
        <v>4</v>
      </c>
    </row>
    <row r="55" spans="1:71" x14ac:dyDescent="0.3">
      <c r="A55" s="1" t="s">
        <v>7</v>
      </c>
      <c r="B55" s="1">
        <v>91</v>
      </c>
      <c r="G55" s="1">
        <v>123</v>
      </c>
      <c r="H55" s="1">
        <v>16</v>
      </c>
      <c r="M55" s="1">
        <v>108</v>
      </c>
      <c r="N55" s="1">
        <v>16</v>
      </c>
      <c r="Q55" s="1">
        <v>122</v>
      </c>
      <c r="R55" s="1">
        <v>16</v>
      </c>
      <c r="AA55" s="1">
        <v>97</v>
      </c>
      <c r="AB55" s="1">
        <v>16</v>
      </c>
      <c r="BP55" s="1" t="s">
        <v>43</v>
      </c>
      <c r="BR55" s="1" t="s">
        <v>53</v>
      </c>
    </row>
    <row r="56" spans="1:71" x14ac:dyDescent="0.3">
      <c r="A56" s="1" t="s">
        <v>7</v>
      </c>
      <c r="B56" s="1">
        <v>90</v>
      </c>
      <c r="C56" s="1">
        <v>62</v>
      </c>
      <c r="D56" s="1">
        <v>12</v>
      </c>
      <c r="G56" s="1">
        <v>39</v>
      </c>
      <c r="H56" s="1">
        <v>12</v>
      </c>
      <c r="M56" s="1">
        <v>98</v>
      </c>
      <c r="N56" s="1">
        <v>12</v>
      </c>
      <c r="U56" s="1">
        <v>42</v>
      </c>
      <c r="V56" s="1">
        <v>12</v>
      </c>
      <c r="BP56" s="1" t="s">
        <v>42</v>
      </c>
    </row>
    <row r="57" spans="1:71" x14ac:dyDescent="0.3">
      <c r="A57" s="1" t="s">
        <v>7</v>
      </c>
      <c r="B57" s="1">
        <v>89</v>
      </c>
      <c r="C57" s="1">
        <v>34</v>
      </c>
      <c r="D57" s="1">
        <v>5</v>
      </c>
      <c r="G57" s="1">
        <v>67</v>
      </c>
      <c r="H57" s="1">
        <v>5</v>
      </c>
      <c r="M57" s="1">
        <v>9</v>
      </c>
      <c r="N57" s="1">
        <v>5</v>
      </c>
      <c r="Q57" s="1">
        <v>14</v>
      </c>
      <c r="R57" s="1">
        <v>5</v>
      </c>
      <c r="BP57" s="1" t="s">
        <v>51</v>
      </c>
      <c r="BQ57" s="23"/>
      <c r="BR57" s="1" t="s">
        <v>60</v>
      </c>
      <c r="BS57" s="1" t="s">
        <v>63</v>
      </c>
    </row>
    <row r="58" spans="1:71" x14ac:dyDescent="0.3">
      <c r="A58" s="1" t="s">
        <v>7</v>
      </c>
      <c r="B58" s="1">
        <v>88</v>
      </c>
      <c r="C58" s="1">
        <v>8</v>
      </c>
      <c r="D58" s="1">
        <v>4</v>
      </c>
      <c r="G58" s="1">
        <v>46</v>
      </c>
      <c r="H58" s="1">
        <v>4</v>
      </c>
      <c r="M58" s="1">
        <v>23</v>
      </c>
      <c r="N58" s="1">
        <v>4</v>
      </c>
      <c r="S58" s="1">
        <v>6</v>
      </c>
      <c r="T58" s="1">
        <v>4</v>
      </c>
      <c r="BP58" s="1" t="s">
        <v>52</v>
      </c>
      <c r="BQ58" s="24"/>
      <c r="BR58" s="1" t="s">
        <v>61</v>
      </c>
      <c r="BS58" s="1" t="s">
        <v>54</v>
      </c>
    </row>
    <row r="59" spans="1:71" x14ac:dyDescent="0.3">
      <c r="A59" s="1" t="s">
        <v>7</v>
      </c>
      <c r="B59" s="1">
        <v>87</v>
      </c>
      <c r="C59" s="1">
        <v>21</v>
      </c>
      <c r="D59" s="1">
        <v>3</v>
      </c>
      <c r="G59" s="1">
        <v>23</v>
      </c>
      <c r="H59" s="1">
        <v>3</v>
      </c>
      <c r="I59" s="1">
        <v>8</v>
      </c>
      <c r="J59" s="1">
        <v>3</v>
      </c>
      <c r="M59" s="1">
        <v>0</v>
      </c>
      <c r="N59" s="1">
        <v>3</v>
      </c>
      <c r="BP59" s="1" t="s">
        <v>50</v>
      </c>
      <c r="BQ59" s="17"/>
      <c r="BR59" s="1" t="s">
        <v>55</v>
      </c>
      <c r="BS59" s="1" t="s">
        <v>64</v>
      </c>
    </row>
    <row r="60" spans="1:71" x14ac:dyDescent="0.3">
      <c r="A60" s="1" t="s">
        <v>7</v>
      </c>
      <c r="B60" s="1">
        <v>86</v>
      </c>
      <c r="C60" s="1">
        <v>0</v>
      </c>
      <c r="D60" s="1">
        <v>4</v>
      </c>
      <c r="G60" s="1">
        <v>37</v>
      </c>
      <c r="H60" s="1">
        <v>4</v>
      </c>
      <c r="I60" s="1">
        <v>25</v>
      </c>
      <c r="J60" s="1">
        <v>4</v>
      </c>
      <c r="K60" s="1">
        <v>62</v>
      </c>
      <c r="L60" s="1">
        <v>4</v>
      </c>
      <c r="BP60" s="1" t="s">
        <v>44</v>
      </c>
      <c r="BQ60" s="18"/>
      <c r="BR60" s="1" t="s">
        <v>59</v>
      </c>
      <c r="BS60" s="1" t="s">
        <v>65</v>
      </c>
    </row>
    <row r="61" spans="1:71" x14ac:dyDescent="0.3">
      <c r="A61" s="1" t="s">
        <v>7</v>
      </c>
      <c r="B61" s="1">
        <v>85</v>
      </c>
      <c r="C61" s="1">
        <v>93</v>
      </c>
      <c r="D61" s="1">
        <v>8</v>
      </c>
      <c r="G61" s="1">
        <v>13</v>
      </c>
      <c r="H61" s="1">
        <v>8</v>
      </c>
      <c r="S61" s="1">
        <v>81</v>
      </c>
      <c r="T61" s="1">
        <v>8</v>
      </c>
      <c r="AA61" s="1">
        <v>55</v>
      </c>
      <c r="AB61" s="1">
        <v>8</v>
      </c>
      <c r="BP61" s="1" t="s">
        <v>45</v>
      </c>
      <c r="BQ61" s="21"/>
      <c r="BR61" s="1" t="s">
        <v>56</v>
      </c>
      <c r="BS61" s="1" t="s">
        <v>66</v>
      </c>
    </row>
    <row r="62" spans="1:71" x14ac:dyDescent="0.3">
      <c r="A62" s="1" t="s">
        <v>7</v>
      </c>
      <c r="B62" s="1">
        <v>84</v>
      </c>
      <c r="C62" s="1">
        <v>34</v>
      </c>
      <c r="D62" s="1">
        <v>8</v>
      </c>
      <c r="G62" s="1">
        <v>52</v>
      </c>
      <c r="H62" s="1">
        <v>8</v>
      </c>
      <c r="M62" s="1">
        <v>34</v>
      </c>
      <c r="N62" s="1">
        <v>8</v>
      </c>
      <c r="S62" s="1">
        <v>50</v>
      </c>
      <c r="T62" s="1">
        <v>8</v>
      </c>
      <c r="AA62" s="1">
        <v>32</v>
      </c>
      <c r="AB62" s="1">
        <v>8</v>
      </c>
      <c r="BP62" s="1" t="s">
        <v>46</v>
      </c>
      <c r="BQ62" s="19"/>
      <c r="BR62" s="1" t="s">
        <v>57</v>
      </c>
      <c r="BS62" s="1" t="s">
        <v>67</v>
      </c>
    </row>
    <row r="63" spans="1:71" x14ac:dyDescent="0.3">
      <c r="A63" s="1" t="s">
        <v>7</v>
      </c>
      <c r="B63" s="1">
        <v>83</v>
      </c>
      <c r="C63" s="1">
        <v>23</v>
      </c>
      <c r="D63" s="1">
        <v>8</v>
      </c>
      <c r="G63" s="1">
        <v>24</v>
      </c>
      <c r="H63" s="1">
        <v>8</v>
      </c>
      <c r="M63" s="1">
        <v>94</v>
      </c>
      <c r="N63" s="1">
        <v>8</v>
      </c>
      <c r="S63" s="1">
        <v>43</v>
      </c>
      <c r="T63" s="1">
        <v>8</v>
      </c>
      <c r="BP63" s="1" t="s">
        <v>47</v>
      </c>
      <c r="BQ63" s="20"/>
      <c r="BR63" s="1" t="s">
        <v>58</v>
      </c>
      <c r="BS63" s="1" t="s">
        <v>68</v>
      </c>
    </row>
    <row r="64" spans="1:71" x14ac:dyDescent="0.3">
      <c r="A64" s="1" t="s">
        <v>7</v>
      </c>
      <c r="B64" s="1">
        <v>82</v>
      </c>
      <c r="C64" s="1">
        <v>72</v>
      </c>
      <c r="D64" s="1">
        <v>12</v>
      </c>
      <c r="G64" s="1">
        <v>84</v>
      </c>
      <c r="H64" s="1">
        <v>12</v>
      </c>
      <c r="M64" s="1">
        <v>56</v>
      </c>
      <c r="N64" s="1">
        <v>12</v>
      </c>
      <c r="AI64" s="1">
        <v>32</v>
      </c>
      <c r="AJ64" s="1">
        <v>12</v>
      </c>
      <c r="BP64" s="1" t="s">
        <v>48</v>
      </c>
      <c r="BQ64" s="22"/>
      <c r="BR64" s="1" t="s">
        <v>62</v>
      </c>
      <c r="BS64" s="1" t="s">
        <v>69</v>
      </c>
    </row>
    <row r="65" spans="1:75" x14ac:dyDescent="0.3">
      <c r="A65" s="1" t="s">
        <v>7</v>
      </c>
      <c r="B65" s="1">
        <v>81</v>
      </c>
      <c r="C65" s="1">
        <v>29</v>
      </c>
      <c r="D65" s="1">
        <v>5</v>
      </c>
      <c r="E65" s="1">
        <v>33</v>
      </c>
      <c r="F65" s="1">
        <v>6</v>
      </c>
      <c r="G65" s="1">
        <v>30.5</v>
      </c>
      <c r="H65" s="1">
        <v>3</v>
      </c>
      <c r="M65" s="1">
        <v>16</v>
      </c>
      <c r="N65" s="1">
        <v>2</v>
      </c>
      <c r="U65" s="1">
        <v>-20</v>
      </c>
      <c r="V65" s="1">
        <v>5</v>
      </c>
      <c r="AA65" s="1">
        <v>30.5</v>
      </c>
      <c r="AB65" s="1">
        <v>3</v>
      </c>
    </row>
    <row r="66" spans="1:75" x14ac:dyDescent="0.3">
      <c r="A66" s="1" t="s">
        <v>7</v>
      </c>
      <c r="B66" s="1">
        <v>80</v>
      </c>
      <c r="C66" s="1">
        <v>28</v>
      </c>
      <c r="D66" s="1">
        <v>7</v>
      </c>
      <c r="E66" s="1">
        <v>0</v>
      </c>
      <c r="F66" s="1">
        <v>7</v>
      </c>
      <c r="G66" s="1">
        <v>54</v>
      </c>
      <c r="H66" s="1">
        <v>8</v>
      </c>
      <c r="S66" s="1">
        <v>67</v>
      </c>
      <c r="T66" s="1">
        <v>7</v>
      </c>
      <c r="U66" s="1">
        <v>46</v>
      </c>
      <c r="V66" s="1">
        <v>7</v>
      </c>
      <c r="BL66" s="1" t="s">
        <v>8</v>
      </c>
      <c r="BM66" s="1" t="s">
        <v>36</v>
      </c>
      <c r="BN66" s="1" t="s">
        <v>37</v>
      </c>
      <c r="BO66" s="1" t="s">
        <v>42</v>
      </c>
      <c r="BQ66" s="1" t="s">
        <v>40</v>
      </c>
      <c r="BR66" s="1" t="s">
        <v>36</v>
      </c>
      <c r="BS66" s="1" t="s">
        <v>41</v>
      </c>
      <c r="BT66" s="1" t="s">
        <v>42</v>
      </c>
      <c r="BV66" s="1" t="s">
        <v>35</v>
      </c>
    </row>
    <row r="67" spans="1:75" x14ac:dyDescent="0.3">
      <c r="A67" s="1" t="s">
        <v>7</v>
      </c>
      <c r="B67" s="1">
        <v>79</v>
      </c>
      <c r="C67" s="1">
        <v>75</v>
      </c>
      <c r="D67" s="1">
        <v>8</v>
      </c>
      <c r="E67" s="1">
        <v>87</v>
      </c>
      <c r="F67" s="1">
        <v>8</v>
      </c>
      <c r="G67" s="1">
        <v>10</v>
      </c>
      <c r="H67" s="1">
        <v>8</v>
      </c>
      <c r="W67" s="1">
        <v>32</v>
      </c>
      <c r="X67" s="1">
        <v>8</v>
      </c>
    </row>
    <row r="68" spans="1:75" x14ac:dyDescent="0.3">
      <c r="A68" s="1" t="s">
        <v>7</v>
      </c>
      <c r="B68" s="1">
        <v>78</v>
      </c>
      <c r="C68" s="1">
        <v>0</v>
      </c>
      <c r="D68" s="1">
        <v>3</v>
      </c>
      <c r="E68" s="1">
        <v>0</v>
      </c>
      <c r="F68" s="1">
        <v>1</v>
      </c>
      <c r="G68" s="1">
        <v>44</v>
      </c>
      <c r="H68" s="1">
        <v>4</v>
      </c>
      <c r="I68" s="1">
        <v>-14</v>
      </c>
      <c r="J68" s="1">
        <v>2</v>
      </c>
      <c r="M68" s="1">
        <v>33</v>
      </c>
      <c r="N68" s="1">
        <v>4</v>
      </c>
      <c r="W68" s="1">
        <v>-1</v>
      </c>
      <c r="X68" s="1">
        <v>4</v>
      </c>
      <c r="BA68" s="1">
        <v>34</v>
      </c>
      <c r="BB68" s="1">
        <v>2</v>
      </c>
      <c r="BI68" s="2"/>
      <c r="BJ68" s="1" t="s">
        <v>30</v>
      </c>
      <c r="BL68" s="1" cm="1">
        <f t="array" ref="BL68:BO86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M68" s="1" t="str">
        <v>Gauthier</v>
      </c>
      <c r="BN68" s="1" t="str">
        <v>7.391</v>
      </c>
      <c r="BO68" s="1">
        <v>69</v>
      </c>
      <c r="BQ68" s="1" cm="1">
        <f t="array" ref="BQ68:BT76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R68" s="1" t="str">
        <v>Amélie</v>
      </c>
      <c r="BS68" s="1" t="str">
        <v>17.000</v>
      </c>
      <c r="BT68" s="1">
        <v>2</v>
      </c>
      <c r="BV68" s="1" t="str" cm="1">
        <f t="array" ref="BV68:BW95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BW68" s="1">
        <v>7.3913043478260869</v>
      </c>
    </row>
    <row r="69" spans="1:75" x14ac:dyDescent="0.3">
      <c r="A69" s="1" t="s">
        <v>24</v>
      </c>
      <c r="B69" s="1">
        <v>77</v>
      </c>
      <c r="G69" s="1">
        <v>135</v>
      </c>
      <c r="H69" s="1">
        <v>12</v>
      </c>
      <c r="M69" s="1">
        <v>142</v>
      </c>
      <c r="N69" s="1">
        <v>12</v>
      </c>
      <c r="U69" s="1">
        <v>-7</v>
      </c>
      <c r="V69" s="1">
        <v>12</v>
      </c>
      <c r="AA69" s="1">
        <v>20</v>
      </c>
      <c r="AB69" s="1">
        <v>8</v>
      </c>
      <c r="BI69" s="3"/>
      <c r="BJ69" s="1" t="s">
        <v>31</v>
      </c>
      <c r="BL69" s="1">
        <v>2</v>
      </c>
      <c r="BM69" s="1" t="str">
        <v>Boris</v>
      </c>
      <c r="BN69" s="1" t="str">
        <v>7.246</v>
      </c>
      <c r="BO69" s="1">
        <v>1013</v>
      </c>
      <c r="BQ69" s="1">
        <v>2</v>
      </c>
      <c r="BR69" s="1" t="str">
        <v>Maxime_Ca</v>
      </c>
      <c r="BS69" s="1" t="str">
        <v>8.500</v>
      </c>
      <c r="BT69" s="1">
        <v>4</v>
      </c>
      <c r="BV69" s="1" t="str">
        <v>Boris</v>
      </c>
      <c r="BW69" s="1">
        <v>7.2462981243830207</v>
      </c>
    </row>
    <row r="70" spans="1:75" x14ac:dyDescent="0.3">
      <c r="A70" s="1" t="s">
        <v>24</v>
      </c>
      <c r="B70" s="1">
        <v>76</v>
      </c>
      <c r="C70" s="1">
        <v>-9</v>
      </c>
      <c r="D70" s="1">
        <v>4</v>
      </c>
      <c r="E70" s="1">
        <v>39</v>
      </c>
      <c r="F70" s="1">
        <v>4</v>
      </c>
      <c r="G70" s="1">
        <v>45</v>
      </c>
      <c r="H70" s="1">
        <v>4</v>
      </c>
      <c r="AI70" s="1">
        <v>-3</v>
      </c>
      <c r="AJ70" s="1">
        <v>4</v>
      </c>
      <c r="BI70" s="4"/>
      <c r="BJ70" s="1" t="s">
        <v>32</v>
      </c>
      <c r="BL70" s="1">
        <v>3</v>
      </c>
      <c r="BM70" s="1" t="str">
        <v>Joachim</v>
      </c>
      <c r="BN70" s="1" t="str">
        <v>6.202</v>
      </c>
      <c r="BO70" s="1">
        <v>104</v>
      </c>
      <c r="BQ70" s="1">
        <v>3</v>
      </c>
      <c r="BR70" s="1" t="str">
        <v>Pascale</v>
      </c>
      <c r="BS70" s="1" t="str">
        <v>7.118</v>
      </c>
      <c r="BT70" s="1">
        <v>17</v>
      </c>
      <c r="BV70" s="1" t="str">
        <v>Joachim</v>
      </c>
      <c r="BW70" s="1">
        <v>6.2019230769230766</v>
      </c>
    </row>
    <row r="71" spans="1:75" x14ac:dyDescent="0.3">
      <c r="A71" s="1" t="s">
        <v>22</v>
      </c>
      <c r="B71" s="1">
        <v>75</v>
      </c>
      <c r="C71" s="1">
        <v>20</v>
      </c>
      <c r="D71" s="1">
        <v>4</v>
      </c>
      <c r="G71" s="1">
        <v>58</v>
      </c>
      <c r="H71" s="1">
        <v>4</v>
      </c>
      <c r="U71" s="1">
        <v>-30</v>
      </c>
      <c r="V71" s="1">
        <v>4</v>
      </c>
      <c r="AU71" s="1">
        <v>34</v>
      </c>
      <c r="AV71" s="1">
        <v>4</v>
      </c>
      <c r="BL71" s="1">
        <v>4</v>
      </c>
      <c r="BM71" s="1" t="str">
        <v>Tom</v>
      </c>
      <c r="BN71" s="1" t="str">
        <v>6.109</v>
      </c>
      <c r="BO71" s="1">
        <v>193</v>
      </c>
      <c r="BQ71" s="1">
        <v>4</v>
      </c>
      <c r="BR71" s="1" t="str">
        <v>Harrison</v>
      </c>
      <c r="BS71" s="1" t="str">
        <v>5.400</v>
      </c>
      <c r="BT71" s="1">
        <v>5</v>
      </c>
      <c r="BV71" s="1" t="str">
        <v>Tom</v>
      </c>
      <c r="BW71" s="1">
        <v>6.1088082901554408</v>
      </c>
    </row>
    <row r="72" spans="1:75" x14ac:dyDescent="0.3">
      <c r="A72" s="1" t="s">
        <v>7</v>
      </c>
      <c r="B72" s="1">
        <v>74</v>
      </c>
      <c r="C72" s="1">
        <v>27</v>
      </c>
      <c r="D72" s="1">
        <v>4</v>
      </c>
      <c r="G72" s="1">
        <v>13</v>
      </c>
      <c r="H72" s="1">
        <v>4</v>
      </c>
      <c r="M72" s="1">
        <v>29</v>
      </c>
      <c r="N72" s="1">
        <v>4</v>
      </c>
      <c r="U72" s="1">
        <v>21</v>
      </c>
      <c r="V72" s="1">
        <v>4</v>
      </c>
      <c r="BI72" s="5"/>
      <c r="BJ72" s="1" t="s">
        <v>9</v>
      </c>
      <c r="BL72" s="1">
        <v>5</v>
      </c>
      <c r="BM72" s="1" t="str">
        <v>Célian</v>
      </c>
      <c r="BN72" s="1" t="str">
        <v>6.071</v>
      </c>
      <c r="BO72" s="1">
        <v>241</v>
      </c>
      <c r="BQ72" s="1">
        <v>5</v>
      </c>
      <c r="BR72" s="1" t="str">
        <v>Stanislas</v>
      </c>
      <c r="BS72" s="1" t="str">
        <v>3.765</v>
      </c>
      <c r="BT72" s="1">
        <v>17</v>
      </c>
      <c r="BV72" s="1" t="str">
        <v>Célian</v>
      </c>
      <c r="BW72" s="1">
        <v>6.0705394190871367</v>
      </c>
    </row>
    <row r="73" spans="1:75" x14ac:dyDescent="0.3">
      <c r="A73" s="1" t="s">
        <v>7</v>
      </c>
      <c r="B73" s="1">
        <v>73</v>
      </c>
      <c r="C73" s="1">
        <v>92</v>
      </c>
      <c r="D73" s="1">
        <v>7</v>
      </c>
      <c r="G73" s="1">
        <v>27</v>
      </c>
      <c r="H73" s="1">
        <v>7</v>
      </c>
      <c r="U73" s="1">
        <v>-5</v>
      </c>
      <c r="V73" s="1">
        <v>7</v>
      </c>
      <c r="AA73" s="1">
        <v>43</v>
      </c>
      <c r="AB73" s="1">
        <v>7</v>
      </c>
      <c r="BI73" s="10"/>
      <c r="BJ73" s="1" t="s">
        <v>12</v>
      </c>
      <c r="BL73" s="1">
        <v>6</v>
      </c>
      <c r="BM73" s="1" t="str">
        <v>William</v>
      </c>
      <c r="BN73" s="1" t="str">
        <v>6.069</v>
      </c>
      <c r="BO73" s="1">
        <v>29</v>
      </c>
      <c r="BQ73" s="1">
        <v>6</v>
      </c>
      <c r="BR73" s="1" t="str">
        <v>Émile</v>
      </c>
      <c r="BS73" s="1" t="str">
        <v>3.308</v>
      </c>
      <c r="BT73" s="1">
        <v>13</v>
      </c>
      <c r="BV73" s="1" t="str">
        <v>William</v>
      </c>
      <c r="BW73" s="1">
        <v>6.068965517241379</v>
      </c>
    </row>
    <row r="74" spans="1:75" x14ac:dyDescent="0.3">
      <c r="A74" s="1" t="s">
        <v>7</v>
      </c>
      <c r="B74" s="1">
        <v>72</v>
      </c>
      <c r="C74" s="1">
        <v>11</v>
      </c>
      <c r="D74" s="1">
        <v>1</v>
      </c>
      <c r="G74" s="1">
        <v>11</v>
      </c>
      <c r="H74" s="1">
        <v>1</v>
      </c>
      <c r="M74" s="1">
        <v>-11</v>
      </c>
      <c r="N74" s="1">
        <v>1</v>
      </c>
      <c r="U74" s="1">
        <v>-11</v>
      </c>
      <c r="V74" s="1">
        <v>1</v>
      </c>
      <c r="BI74" s="6"/>
      <c r="BJ74" s="1" t="s">
        <v>11</v>
      </c>
      <c r="BL74" s="1">
        <v>7</v>
      </c>
      <c r="BM74" s="1" t="str">
        <v>Lou</v>
      </c>
      <c r="BN74" s="1" t="str">
        <v>5.917</v>
      </c>
      <c r="BO74" s="1">
        <v>72</v>
      </c>
      <c r="BQ74" s="1">
        <v>7</v>
      </c>
      <c r="BR74" s="1" t="str">
        <v>Aurélien</v>
      </c>
      <c r="BS74" s="1" t="str">
        <v>2.800</v>
      </c>
      <c r="BT74" s="1">
        <v>5</v>
      </c>
      <c r="BV74" s="1" t="str">
        <v>Lou</v>
      </c>
      <c r="BW74" s="1">
        <v>5.916666666666667</v>
      </c>
    </row>
    <row r="75" spans="1:75" x14ac:dyDescent="0.3">
      <c r="A75" s="1" t="s">
        <v>7</v>
      </c>
      <c r="B75" s="1">
        <v>71</v>
      </c>
      <c r="C75" s="1">
        <v>31</v>
      </c>
      <c r="D75" s="1">
        <v>5</v>
      </c>
      <c r="G75" s="1">
        <v>25</v>
      </c>
      <c r="H75" s="1">
        <v>5</v>
      </c>
      <c r="U75" s="1">
        <v>41</v>
      </c>
      <c r="V75" s="1">
        <v>5</v>
      </c>
      <c r="AW75" s="1">
        <v>14</v>
      </c>
      <c r="AX75" s="1">
        <v>5</v>
      </c>
      <c r="BL75" s="1">
        <v>8</v>
      </c>
      <c r="BM75" s="1" t="str">
        <v>Samuel</v>
      </c>
      <c r="BN75" s="1" t="str">
        <v>5.910</v>
      </c>
      <c r="BO75" s="1">
        <v>211</v>
      </c>
      <c r="BQ75" s="1">
        <v>8</v>
      </c>
      <c r="BR75" s="1" t="str">
        <v>Maxime_Go</v>
      </c>
      <c r="BS75" s="1" t="str">
        <v>0.727</v>
      </c>
      <c r="BT75" s="1">
        <v>11</v>
      </c>
      <c r="BV75" s="1" t="str">
        <v>Samuel</v>
      </c>
      <c r="BW75" s="1">
        <v>5.9099526066350707</v>
      </c>
    </row>
    <row r="76" spans="1:75" x14ac:dyDescent="0.3">
      <c r="A76" s="15" t="s">
        <v>7</v>
      </c>
      <c r="B76" s="15">
        <v>70</v>
      </c>
      <c r="C76" s="15">
        <v>79</v>
      </c>
      <c r="D76" s="15">
        <v>16</v>
      </c>
      <c r="E76" s="15">
        <v>99</v>
      </c>
      <c r="F76" s="15">
        <v>16</v>
      </c>
      <c r="G76" s="15">
        <v>139</v>
      </c>
      <c r="H76" s="15">
        <v>16</v>
      </c>
      <c r="I76" s="15"/>
      <c r="J76" s="15"/>
      <c r="K76" s="15"/>
      <c r="L76" s="15"/>
      <c r="M76" s="15">
        <v>4</v>
      </c>
      <c r="N76" s="15">
        <v>4</v>
      </c>
      <c r="O76" s="15"/>
      <c r="P76" s="15"/>
      <c r="Q76" s="15"/>
      <c r="R76" s="15"/>
      <c r="S76" s="15"/>
      <c r="T76" s="15"/>
      <c r="U76" s="15"/>
      <c r="V76" s="15"/>
      <c r="W76" s="15">
        <v>-9</v>
      </c>
      <c r="X76" s="15">
        <v>16</v>
      </c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BI76" s="7"/>
      <c r="BJ76" s="1" t="s">
        <v>14</v>
      </c>
      <c r="BL76" s="1">
        <v>9</v>
      </c>
      <c r="BM76" s="1" t="str">
        <v>Mehdi</v>
      </c>
      <c r="BN76" s="1" t="str">
        <v>5.770</v>
      </c>
      <c r="BO76" s="1">
        <v>421</v>
      </c>
      <c r="BQ76" s="1">
        <v>9</v>
      </c>
      <c r="BR76" s="1" t="str">
        <v>Robin</v>
      </c>
      <c r="BS76" s="1" t="str">
        <v>-0.083</v>
      </c>
      <c r="BT76" s="1">
        <v>12</v>
      </c>
      <c r="BV76" s="1" t="str">
        <v>Mehdi</v>
      </c>
      <c r="BW76" s="1">
        <v>5.7695961995249405</v>
      </c>
    </row>
    <row r="77" spans="1:75" x14ac:dyDescent="0.3">
      <c r="A77" s="15" t="s">
        <v>7</v>
      </c>
      <c r="B77" s="15">
        <v>69</v>
      </c>
      <c r="C77" s="15">
        <v>80</v>
      </c>
      <c r="D77" s="15">
        <v>12</v>
      </c>
      <c r="E77" s="15">
        <v>97</v>
      </c>
      <c r="F77" s="15">
        <v>12</v>
      </c>
      <c r="G77" s="15">
        <v>43</v>
      </c>
      <c r="H77" s="15">
        <v>12</v>
      </c>
      <c r="I77" s="15"/>
      <c r="J77" s="15"/>
      <c r="K77" s="15"/>
      <c r="L77" s="15"/>
      <c r="M77" s="15">
        <v>59</v>
      </c>
      <c r="N77" s="15">
        <v>12</v>
      </c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BI77" s="8"/>
      <c r="BJ77" s="1" t="s">
        <v>13</v>
      </c>
      <c r="BL77" s="1">
        <v>10</v>
      </c>
      <c r="BM77" s="1" t="str">
        <v>Damien</v>
      </c>
      <c r="BN77" s="1" t="str">
        <v>5.411</v>
      </c>
      <c r="BO77" s="1">
        <v>587</v>
      </c>
      <c r="BV77" s="1" t="str">
        <v>Damien</v>
      </c>
      <c r="BW77" s="1">
        <v>5.4105621805792161</v>
      </c>
    </row>
    <row r="78" spans="1:75" x14ac:dyDescent="0.3">
      <c r="A78" s="15" t="s">
        <v>7</v>
      </c>
      <c r="B78" s="15">
        <v>68</v>
      </c>
      <c r="C78" s="15">
        <v>50</v>
      </c>
      <c r="D78" s="15">
        <v>8</v>
      </c>
      <c r="E78" s="15">
        <v>39</v>
      </c>
      <c r="F78" s="15">
        <v>8</v>
      </c>
      <c r="G78" s="15">
        <v>64</v>
      </c>
      <c r="H78" s="15">
        <v>8</v>
      </c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>
        <v>6</v>
      </c>
      <c r="T78" s="15">
        <v>8</v>
      </c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BI78" s="9"/>
      <c r="BJ78" s="1" t="s">
        <v>10</v>
      </c>
      <c r="BL78" s="1">
        <v>11</v>
      </c>
      <c r="BM78" s="1" t="str">
        <v>Achille</v>
      </c>
      <c r="BN78" s="1" t="str">
        <v>5.347</v>
      </c>
      <c r="BO78" s="1">
        <v>824</v>
      </c>
      <c r="BV78" s="1" t="str">
        <v>Achille</v>
      </c>
      <c r="BW78" s="1">
        <v>5.3470873786407767</v>
      </c>
    </row>
    <row r="79" spans="1:75" x14ac:dyDescent="0.3">
      <c r="A79" s="15" t="s">
        <v>7</v>
      </c>
      <c r="B79" s="15">
        <v>67</v>
      </c>
      <c r="C79" s="15">
        <v>19</v>
      </c>
      <c r="D79" s="15">
        <v>3</v>
      </c>
      <c r="E79" s="15"/>
      <c r="F79" s="15"/>
      <c r="G79" s="15">
        <v>8</v>
      </c>
      <c r="H79" s="15">
        <v>3</v>
      </c>
      <c r="I79" s="15">
        <v>19</v>
      </c>
      <c r="J79" s="15">
        <v>3</v>
      </c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>
        <v>8</v>
      </c>
      <c r="AT79" s="15">
        <v>3</v>
      </c>
      <c r="AU79" s="15"/>
      <c r="AV79" s="15"/>
      <c r="AW79" s="15"/>
      <c r="AX79" s="15"/>
      <c r="AY79" s="15"/>
      <c r="BL79" s="1">
        <v>12</v>
      </c>
      <c r="BM79" s="1" t="str">
        <v>Quentin</v>
      </c>
      <c r="BN79" s="1" t="str">
        <v>5.015</v>
      </c>
      <c r="BO79" s="1">
        <v>67</v>
      </c>
      <c r="BV79" s="1" t="str">
        <v>Quentin</v>
      </c>
      <c r="BW79" s="1">
        <v>5.0149253731343286</v>
      </c>
    </row>
    <row r="80" spans="1:75" x14ac:dyDescent="0.3">
      <c r="A80" s="15" t="s">
        <v>7</v>
      </c>
      <c r="B80" s="15">
        <v>66</v>
      </c>
      <c r="C80" s="15">
        <v>13</v>
      </c>
      <c r="D80" s="15">
        <v>3</v>
      </c>
      <c r="E80" s="15"/>
      <c r="F80" s="15"/>
      <c r="G80" s="15">
        <v>54</v>
      </c>
      <c r="H80" s="15">
        <v>3</v>
      </c>
      <c r="I80" s="15">
        <v>0</v>
      </c>
      <c r="J80" s="15">
        <v>1</v>
      </c>
      <c r="K80" s="15"/>
      <c r="L80" s="15"/>
      <c r="M80" s="15">
        <v>17</v>
      </c>
      <c r="N80" s="15">
        <v>3</v>
      </c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>
        <v>0</v>
      </c>
      <c r="AF80" s="15">
        <v>2</v>
      </c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BI80" s="1" t="s">
        <v>1</v>
      </c>
      <c r="BJ80" s="1">
        <f>AVERAGE(C1:BF1)</f>
        <v>5.1202992528921065</v>
      </c>
      <c r="BL80" s="1">
        <v>13</v>
      </c>
      <c r="BM80" s="1" t="str">
        <v>Paul</v>
      </c>
      <c r="BN80" s="1" t="str">
        <v>4.813</v>
      </c>
      <c r="BO80" s="1">
        <v>32</v>
      </c>
      <c r="BV80" s="1" t="str">
        <v>Paul</v>
      </c>
      <c r="BW80" s="1">
        <v>4.8125</v>
      </c>
    </row>
    <row r="81" spans="1:75" x14ac:dyDescent="0.3">
      <c r="A81" s="15" t="s">
        <v>7</v>
      </c>
      <c r="B81" s="15">
        <v>65</v>
      </c>
      <c r="C81" s="15"/>
      <c r="D81" s="15"/>
      <c r="E81" s="15"/>
      <c r="F81" s="15"/>
      <c r="G81" s="15">
        <v>70</v>
      </c>
      <c r="H81" s="15">
        <v>8</v>
      </c>
      <c r="I81" s="15">
        <v>-9</v>
      </c>
      <c r="J81" s="15">
        <v>8</v>
      </c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>
        <v>81</v>
      </c>
      <c r="V81" s="15">
        <v>8</v>
      </c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>
        <v>0</v>
      </c>
      <c r="AT81" s="15">
        <v>8</v>
      </c>
      <c r="AU81" s="15"/>
      <c r="AV81" s="15"/>
      <c r="AW81" s="15"/>
      <c r="AX81" s="15"/>
      <c r="AY81" s="15"/>
      <c r="BL81" s="1">
        <v>14</v>
      </c>
      <c r="BM81" s="1" t="str">
        <v>Jules</v>
      </c>
      <c r="BN81" s="1" t="str">
        <v>4.696</v>
      </c>
      <c r="BO81" s="1">
        <v>135</v>
      </c>
      <c r="BV81" s="1" t="str">
        <v>Jules</v>
      </c>
      <c r="BW81" s="1">
        <v>4.6962962962962962</v>
      </c>
    </row>
    <row r="82" spans="1:75" x14ac:dyDescent="0.3">
      <c r="A82" s="15" t="s">
        <v>23</v>
      </c>
      <c r="B82" s="15">
        <v>64</v>
      </c>
      <c r="C82" s="15">
        <v>38</v>
      </c>
      <c r="D82" s="15">
        <v>7</v>
      </c>
      <c r="E82" s="15">
        <v>96</v>
      </c>
      <c r="F82" s="15">
        <v>8</v>
      </c>
      <c r="G82" s="15">
        <v>38</v>
      </c>
      <c r="H82" s="15">
        <v>8</v>
      </c>
      <c r="I82" s="15">
        <v>25</v>
      </c>
      <c r="J82" s="15">
        <v>8</v>
      </c>
      <c r="K82" s="15"/>
      <c r="L82" s="15"/>
      <c r="M82" s="15"/>
      <c r="N82" s="15"/>
      <c r="O82" s="15"/>
      <c r="P82" s="15"/>
      <c r="Q82" s="15">
        <v>25</v>
      </c>
      <c r="R82" s="15">
        <v>5</v>
      </c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BL82" s="1">
        <v>15</v>
      </c>
      <c r="BM82" s="1" t="str">
        <v>Marie</v>
      </c>
      <c r="BN82" s="1" t="str">
        <v>4.239</v>
      </c>
      <c r="BO82" s="1">
        <v>207</v>
      </c>
      <c r="BV82" s="1" t="str">
        <v>Marie</v>
      </c>
      <c r="BW82" s="1">
        <v>4.2391304347826084</v>
      </c>
    </row>
    <row r="83" spans="1:75" x14ac:dyDescent="0.3">
      <c r="A83" s="15" t="s">
        <v>23</v>
      </c>
      <c r="B83" s="15">
        <v>63</v>
      </c>
      <c r="C83" s="15">
        <v>13</v>
      </c>
      <c r="D83" s="15">
        <v>1</v>
      </c>
      <c r="E83" s="15"/>
      <c r="F83" s="15"/>
      <c r="G83" s="15"/>
      <c r="H83" s="15"/>
      <c r="I83" s="15">
        <v>0</v>
      </c>
      <c r="J83" s="15">
        <v>1</v>
      </c>
      <c r="K83" s="15"/>
      <c r="L83" s="15"/>
      <c r="M83" s="15"/>
      <c r="N83" s="15"/>
      <c r="O83" s="15"/>
      <c r="P83" s="15"/>
      <c r="Q83" s="15">
        <v>13</v>
      </c>
      <c r="R83" s="15">
        <v>1</v>
      </c>
      <c r="S83" s="15"/>
      <c r="T83" s="15"/>
      <c r="U83" s="15"/>
      <c r="V83" s="15"/>
      <c r="W83" s="15">
        <v>0</v>
      </c>
      <c r="X83" s="15">
        <v>1</v>
      </c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BJ83" s="1" t="s">
        <v>15</v>
      </c>
      <c r="BL83" s="1">
        <v>16</v>
      </c>
      <c r="BM83" s="1" t="str">
        <v>Joey</v>
      </c>
      <c r="BN83" s="1" t="str">
        <v>3.034</v>
      </c>
      <c r="BO83" s="1">
        <v>58</v>
      </c>
      <c r="BV83" s="1" t="str">
        <v>Joey</v>
      </c>
      <c r="BW83" s="1">
        <v>3.0344827586206895</v>
      </c>
    </row>
    <row r="84" spans="1:75" x14ac:dyDescent="0.3">
      <c r="A84" s="15" t="s">
        <v>7</v>
      </c>
      <c r="B84" s="15">
        <v>62</v>
      </c>
      <c r="C84" s="15">
        <v>118</v>
      </c>
      <c r="D84" s="15">
        <v>24</v>
      </c>
      <c r="E84" s="15">
        <v>103</v>
      </c>
      <c r="F84" s="15">
        <v>24</v>
      </c>
      <c r="G84" s="15">
        <v>102</v>
      </c>
      <c r="H84" s="15">
        <v>24</v>
      </c>
      <c r="I84" s="15">
        <v>0</v>
      </c>
      <c r="J84" s="15">
        <v>4</v>
      </c>
      <c r="K84" s="15"/>
      <c r="L84" s="15"/>
      <c r="M84" s="15"/>
      <c r="N84" s="15"/>
      <c r="O84" s="15">
        <v>225</v>
      </c>
      <c r="P84" s="15">
        <v>23</v>
      </c>
      <c r="Q84" s="15"/>
      <c r="R84" s="15"/>
      <c r="S84" s="15"/>
      <c r="T84" s="15"/>
      <c r="U84" s="15"/>
      <c r="V84" s="15"/>
      <c r="W84" s="15">
        <v>11</v>
      </c>
      <c r="X84" s="15">
        <v>1</v>
      </c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BI84" s="11"/>
      <c r="BJ84" s="1" t="s">
        <v>38</v>
      </c>
      <c r="BL84" s="1">
        <v>17</v>
      </c>
      <c r="BM84" s="1" t="str">
        <v>Luca</v>
      </c>
      <c r="BN84" s="1" t="str">
        <v>3.011</v>
      </c>
      <c r="BO84" s="1">
        <v>178</v>
      </c>
      <c r="BV84" s="1" t="str">
        <v>Luca</v>
      </c>
      <c r="BW84" s="1">
        <v>3.0112359550561796</v>
      </c>
    </row>
    <row r="85" spans="1:75" x14ac:dyDescent="0.3">
      <c r="A85" s="15" t="s">
        <v>7</v>
      </c>
      <c r="B85" s="15">
        <v>61</v>
      </c>
      <c r="C85" s="15"/>
      <c r="D85" s="15"/>
      <c r="E85" s="15">
        <v>11</v>
      </c>
      <c r="F85" s="15">
        <v>4</v>
      </c>
      <c r="G85" s="15"/>
      <c r="H85" s="15"/>
      <c r="I85" s="15"/>
      <c r="J85" s="15"/>
      <c r="K85" s="15"/>
      <c r="L85" s="15"/>
      <c r="M85" s="15">
        <v>46</v>
      </c>
      <c r="N85" s="15">
        <v>4</v>
      </c>
      <c r="O85" s="15">
        <v>45</v>
      </c>
      <c r="P85" s="15">
        <v>4</v>
      </c>
      <c r="Q85" s="15">
        <v>0</v>
      </c>
      <c r="R85" s="15">
        <v>4</v>
      </c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BI85" s="14"/>
      <c r="BJ85" s="1" t="s">
        <v>17</v>
      </c>
      <c r="BL85" s="1">
        <v>18</v>
      </c>
      <c r="BM85" s="1" t="str">
        <v>Fantinne</v>
      </c>
      <c r="BN85" s="1" t="str">
        <v>2.961</v>
      </c>
      <c r="BO85" s="1">
        <v>51</v>
      </c>
      <c r="BV85" s="1" t="str">
        <v>Fantinne</v>
      </c>
      <c r="BW85" s="1">
        <v>2.9607843137254903</v>
      </c>
    </row>
    <row r="86" spans="1:75" x14ac:dyDescent="0.3">
      <c r="A86" s="15" t="s">
        <v>7</v>
      </c>
      <c r="B86" s="15">
        <v>60</v>
      </c>
      <c r="C86" s="15">
        <v>106</v>
      </c>
      <c r="D86" s="15">
        <v>12</v>
      </c>
      <c r="E86" s="15"/>
      <c r="F86" s="15"/>
      <c r="G86" s="15">
        <v>88</v>
      </c>
      <c r="H86" s="15">
        <v>12</v>
      </c>
      <c r="I86" s="15"/>
      <c r="J86" s="15"/>
      <c r="K86" s="15"/>
      <c r="L86" s="15"/>
      <c r="M86" s="15">
        <v>31</v>
      </c>
      <c r="N86" s="15">
        <v>12</v>
      </c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>
        <v>8</v>
      </c>
      <c r="AD86" s="15">
        <v>4</v>
      </c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>
        <v>-1</v>
      </c>
      <c r="AP86" s="15">
        <v>12</v>
      </c>
      <c r="AQ86" s="15"/>
      <c r="AR86" s="15"/>
      <c r="AS86" s="15"/>
      <c r="AT86" s="15"/>
      <c r="AU86" s="15"/>
      <c r="AV86" s="15"/>
      <c r="AW86" s="15"/>
      <c r="AX86" s="15"/>
      <c r="AY86" s="15"/>
      <c r="BI86" s="13"/>
      <c r="BJ86" s="1" t="s">
        <v>18</v>
      </c>
      <c r="BL86" s="1">
        <v>19</v>
      </c>
      <c r="BM86" s="1" t="str">
        <v>Loulou</v>
      </c>
      <c r="BN86" s="1" t="str">
        <v>2.075</v>
      </c>
      <c r="BO86" s="1">
        <v>67</v>
      </c>
      <c r="BV86" s="1" t="str">
        <v>Loulou</v>
      </c>
      <c r="BW86" s="1">
        <v>2.0746268656716418</v>
      </c>
    </row>
    <row r="87" spans="1:75" x14ac:dyDescent="0.3">
      <c r="A87" s="15" t="s">
        <v>7</v>
      </c>
      <c r="B87" s="15">
        <v>59</v>
      </c>
      <c r="C87" s="15"/>
      <c r="D87" s="15"/>
      <c r="E87" s="15">
        <v>129</v>
      </c>
      <c r="F87" s="15">
        <v>10</v>
      </c>
      <c r="G87" s="15"/>
      <c r="H87" s="15"/>
      <c r="I87" s="15">
        <v>17</v>
      </c>
      <c r="J87" s="15">
        <v>10</v>
      </c>
      <c r="K87" s="15">
        <v>-41</v>
      </c>
      <c r="L87" s="15">
        <v>10</v>
      </c>
      <c r="M87" s="15">
        <v>62</v>
      </c>
      <c r="N87" s="15">
        <v>10</v>
      </c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BI87" s="12"/>
      <c r="BJ87" s="1" t="s">
        <v>16</v>
      </c>
      <c r="BV87" s="1" t="str">
        <v>Harrison</v>
      </c>
      <c r="BW87" s="1" t="str">
        <v>/</v>
      </c>
    </row>
    <row r="88" spans="1:75" x14ac:dyDescent="0.3">
      <c r="A88" s="15" t="s">
        <v>7</v>
      </c>
      <c r="B88" s="15">
        <v>58</v>
      </c>
      <c r="C88" s="15"/>
      <c r="D88" s="15"/>
      <c r="E88" s="15">
        <v>49</v>
      </c>
      <c r="F88" s="15">
        <v>14</v>
      </c>
      <c r="G88" s="15">
        <v>60</v>
      </c>
      <c r="H88" s="15">
        <v>14</v>
      </c>
      <c r="I88" s="15">
        <v>94</v>
      </c>
      <c r="J88" s="15">
        <v>14</v>
      </c>
      <c r="K88" s="15"/>
      <c r="L88" s="15"/>
      <c r="M88" s="15"/>
      <c r="N88" s="15"/>
      <c r="O88" s="15"/>
      <c r="P88" s="15"/>
      <c r="Q88" s="15">
        <v>70</v>
      </c>
      <c r="R88" s="15">
        <v>14</v>
      </c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V88" s="1" t="str">
        <v>Pascale</v>
      </c>
      <c r="BW88" s="1" t="str">
        <v>/</v>
      </c>
    </row>
    <row r="89" spans="1:75" x14ac:dyDescent="0.3">
      <c r="A89" s="15" t="s">
        <v>7</v>
      </c>
      <c r="B89" s="15">
        <v>57</v>
      </c>
      <c r="C89" s="15"/>
      <c r="D89" s="15"/>
      <c r="E89" s="15">
        <v>67</v>
      </c>
      <c r="F89" s="15">
        <v>4</v>
      </c>
      <c r="G89" s="15">
        <v>36</v>
      </c>
      <c r="H89" s="15">
        <v>4</v>
      </c>
      <c r="I89" s="15">
        <v>16</v>
      </c>
      <c r="J89" s="15">
        <v>2</v>
      </c>
      <c r="K89" s="15"/>
      <c r="L89" s="15"/>
      <c r="M89" s="15">
        <v>-24</v>
      </c>
      <c r="N89" s="15">
        <v>3</v>
      </c>
      <c r="O89" s="15"/>
      <c r="P89" s="15"/>
      <c r="Q89" s="15">
        <v>31</v>
      </c>
      <c r="R89" s="15">
        <v>3</v>
      </c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BV89" s="1" t="str">
        <v>Robin</v>
      </c>
      <c r="BW89" s="1" t="str">
        <v>/</v>
      </c>
    </row>
    <row r="90" spans="1:75" x14ac:dyDescent="0.3">
      <c r="A90" s="15" t="s">
        <v>7</v>
      </c>
      <c r="B90" s="15">
        <v>56</v>
      </c>
      <c r="C90" s="15"/>
      <c r="D90" s="15"/>
      <c r="E90" s="15"/>
      <c r="F90" s="15"/>
      <c r="G90" s="15">
        <v>66</v>
      </c>
      <c r="H90" s="15">
        <v>8</v>
      </c>
      <c r="I90" s="15"/>
      <c r="J90" s="15"/>
      <c r="K90" s="15"/>
      <c r="L90" s="15"/>
      <c r="M90" s="15">
        <v>50</v>
      </c>
      <c r="N90" s="15">
        <v>8</v>
      </c>
      <c r="O90" s="15"/>
      <c r="P90" s="15"/>
      <c r="Q90" s="15">
        <v>73</v>
      </c>
      <c r="R90" s="15">
        <v>8</v>
      </c>
      <c r="S90" s="15">
        <v>27</v>
      </c>
      <c r="T90" s="15">
        <v>8</v>
      </c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>
        <v>21</v>
      </c>
      <c r="AN90" s="15">
        <v>8</v>
      </c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BV90" s="1" t="str">
        <v>Maxime_Go</v>
      </c>
      <c r="BW90" s="1" t="str">
        <v>/</v>
      </c>
    </row>
    <row r="91" spans="1:75" x14ac:dyDescent="0.3">
      <c r="A91" s="15" t="s">
        <v>25</v>
      </c>
      <c r="B91" s="15" t="s">
        <v>26</v>
      </c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BV91" s="1" t="str">
        <v>Maxime_Ca</v>
      </c>
      <c r="BW91" s="1" t="str">
        <v>/</v>
      </c>
    </row>
    <row r="92" spans="1:75" x14ac:dyDescent="0.3">
      <c r="A92" s="15" t="s">
        <v>7</v>
      </c>
      <c r="B92" s="15">
        <v>55</v>
      </c>
      <c r="C92" s="15">
        <v>100</v>
      </c>
      <c r="D92" s="15">
        <v>16</v>
      </c>
      <c r="E92" s="15"/>
      <c r="F92" s="15"/>
      <c r="G92" s="15">
        <v>188</v>
      </c>
      <c r="H92" s="15">
        <v>16</v>
      </c>
      <c r="I92" s="15"/>
      <c r="J92" s="15"/>
      <c r="K92" s="15"/>
      <c r="L92" s="15"/>
      <c r="M92" s="15">
        <v>34</v>
      </c>
      <c r="N92" s="15">
        <v>16</v>
      </c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>
        <v>60</v>
      </c>
      <c r="AR92" s="15">
        <v>16</v>
      </c>
      <c r="AS92" s="15"/>
      <c r="AT92" s="15"/>
      <c r="AU92" s="15"/>
      <c r="AV92" s="15"/>
      <c r="AW92" s="15"/>
      <c r="AX92" s="15"/>
      <c r="AY92" s="15"/>
      <c r="BV92" s="1" t="str">
        <v>Aurélien</v>
      </c>
      <c r="BW92" s="1" t="str">
        <v>/</v>
      </c>
    </row>
    <row r="93" spans="1:75" x14ac:dyDescent="0.3">
      <c r="A93" s="15" t="s">
        <v>7</v>
      </c>
      <c r="B93" s="15">
        <v>54</v>
      </c>
      <c r="C93" s="15">
        <v>23</v>
      </c>
      <c r="D93" s="15">
        <v>5</v>
      </c>
      <c r="E93" s="15">
        <v>29</v>
      </c>
      <c r="F93" s="15">
        <v>6</v>
      </c>
      <c r="G93" s="15">
        <v>25</v>
      </c>
      <c r="H93" s="15">
        <v>5</v>
      </c>
      <c r="I93" s="15">
        <v>42</v>
      </c>
      <c r="J93" s="15">
        <v>6</v>
      </c>
      <c r="K93" s="15"/>
      <c r="L93" s="15"/>
      <c r="M93" s="15">
        <v>-14</v>
      </c>
      <c r="N93" s="15">
        <v>2</v>
      </c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BV93" s="1" t="str">
        <v>Émile</v>
      </c>
      <c r="BW93" s="1" t="str">
        <v>/</v>
      </c>
    </row>
    <row r="94" spans="1:75" x14ac:dyDescent="0.3">
      <c r="A94" s="15" t="s">
        <v>7</v>
      </c>
      <c r="B94" s="15">
        <v>53</v>
      </c>
      <c r="C94" s="15">
        <v>45</v>
      </c>
      <c r="D94" s="15">
        <v>8</v>
      </c>
      <c r="E94" s="15"/>
      <c r="F94" s="15"/>
      <c r="G94" s="15">
        <v>68</v>
      </c>
      <c r="H94" s="15">
        <v>8</v>
      </c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>
        <v>-4</v>
      </c>
      <c r="AB94" s="15">
        <v>8</v>
      </c>
      <c r="AC94" s="15"/>
      <c r="AD94" s="15"/>
      <c r="AE94" s="15"/>
      <c r="AF94" s="15"/>
      <c r="AG94" s="15">
        <v>91</v>
      </c>
      <c r="AH94" s="15">
        <v>8</v>
      </c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BV94" s="1" t="str">
        <v>Amélie</v>
      </c>
      <c r="BW94" s="1" t="str">
        <v>/</v>
      </c>
    </row>
    <row r="95" spans="1:75" x14ac:dyDescent="0.3">
      <c r="A95" s="15" t="s">
        <v>7</v>
      </c>
      <c r="B95" s="15">
        <v>52</v>
      </c>
      <c r="C95" s="15"/>
      <c r="D95" s="15"/>
      <c r="E95" s="15"/>
      <c r="F95" s="15"/>
      <c r="G95" s="15">
        <v>94</v>
      </c>
      <c r="H95" s="15">
        <v>16</v>
      </c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>
        <v>42</v>
      </c>
      <c r="V95" s="15">
        <v>16</v>
      </c>
      <c r="W95" s="15"/>
      <c r="X95" s="15"/>
      <c r="Y95" s="15"/>
      <c r="Z95" s="15"/>
      <c r="AA95" s="15">
        <v>75</v>
      </c>
      <c r="AB95" s="15">
        <v>16</v>
      </c>
      <c r="AC95" s="15"/>
      <c r="AD95" s="15"/>
      <c r="AE95" s="15"/>
      <c r="AF95" s="15"/>
      <c r="AG95" s="15">
        <v>64</v>
      </c>
      <c r="AH95" s="15">
        <v>16</v>
      </c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BV95" s="1" t="str">
        <v>Stanislas</v>
      </c>
      <c r="BW95" s="1" t="str">
        <v>/</v>
      </c>
    </row>
    <row r="96" spans="1:75" x14ac:dyDescent="0.3">
      <c r="A96" s="15" t="s">
        <v>7</v>
      </c>
      <c r="B96" s="15">
        <v>51</v>
      </c>
      <c r="C96" s="15">
        <v>37</v>
      </c>
      <c r="D96" s="15">
        <v>14</v>
      </c>
      <c r="E96" s="15"/>
      <c r="F96" s="15"/>
      <c r="G96" s="15">
        <v>105</v>
      </c>
      <c r="H96" s="15">
        <v>14</v>
      </c>
      <c r="I96" s="15"/>
      <c r="J96" s="15"/>
      <c r="K96" s="15"/>
      <c r="L96" s="15"/>
      <c r="M96" s="15">
        <v>84</v>
      </c>
      <c r="N96" s="15">
        <v>14</v>
      </c>
      <c r="O96" s="15"/>
      <c r="P96" s="15"/>
      <c r="Q96" s="15"/>
      <c r="R96" s="15"/>
      <c r="S96" s="15">
        <v>91</v>
      </c>
      <c r="T96" s="15">
        <v>14</v>
      </c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</row>
    <row r="97" spans="1:77" x14ac:dyDescent="0.3">
      <c r="A97" s="15" t="s">
        <v>7</v>
      </c>
      <c r="B97" s="15">
        <v>50</v>
      </c>
      <c r="C97" s="15">
        <v>32</v>
      </c>
      <c r="D97" s="15">
        <v>7</v>
      </c>
      <c r="E97" s="15"/>
      <c r="F97" s="15"/>
      <c r="G97" s="15">
        <v>50</v>
      </c>
      <c r="H97" s="15">
        <v>7</v>
      </c>
      <c r="I97" s="15"/>
      <c r="J97" s="15"/>
      <c r="K97" s="15"/>
      <c r="L97" s="15"/>
      <c r="M97" s="15">
        <v>40</v>
      </c>
      <c r="N97" s="15">
        <v>7</v>
      </c>
      <c r="O97" s="15"/>
      <c r="P97" s="15"/>
      <c r="Q97" s="15"/>
      <c r="R97" s="15"/>
      <c r="S97" s="15">
        <v>38</v>
      </c>
      <c r="T97" s="15">
        <v>7</v>
      </c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</row>
    <row r="98" spans="1:77" x14ac:dyDescent="0.3">
      <c r="A98" s="15" t="s">
        <v>7</v>
      </c>
      <c r="B98" s="15">
        <v>49</v>
      </c>
      <c r="C98" s="15">
        <v>47</v>
      </c>
      <c r="D98" s="15">
        <v>9</v>
      </c>
      <c r="E98" s="15"/>
      <c r="F98" s="15"/>
      <c r="G98" s="15">
        <v>94</v>
      </c>
      <c r="H98" s="15">
        <v>9</v>
      </c>
      <c r="I98" s="15"/>
      <c r="J98" s="15"/>
      <c r="K98" s="15">
        <v>13</v>
      </c>
      <c r="L98" s="15">
        <v>2</v>
      </c>
      <c r="M98" s="15">
        <v>47</v>
      </c>
      <c r="N98" s="15">
        <v>7</v>
      </c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>
        <v>14</v>
      </c>
      <c r="AB98" s="15">
        <v>9</v>
      </c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</row>
    <row r="99" spans="1:77" x14ac:dyDescent="0.3">
      <c r="A99" s="15" t="s">
        <v>7</v>
      </c>
      <c r="B99" s="15">
        <v>48</v>
      </c>
      <c r="C99" s="15">
        <v>90</v>
      </c>
      <c r="D99" s="15">
        <v>7</v>
      </c>
      <c r="E99" s="15"/>
      <c r="F99" s="15"/>
      <c r="G99" s="15">
        <v>48</v>
      </c>
      <c r="H99" s="15">
        <v>7</v>
      </c>
      <c r="I99" s="15"/>
      <c r="J99" s="15"/>
      <c r="K99" s="15"/>
      <c r="L99" s="15"/>
      <c r="M99" s="15">
        <v>1</v>
      </c>
      <c r="N99" s="15">
        <v>7</v>
      </c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>
        <v>-4</v>
      </c>
      <c r="AB99" s="15">
        <v>7</v>
      </c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</row>
    <row r="100" spans="1:77" x14ac:dyDescent="0.3">
      <c r="A100" s="15" t="s">
        <v>7</v>
      </c>
      <c r="B100" s="15">
        <v>47</v>
      </c>
      <c r="C100" s="15">
        <v>87</v>
      </c>
      <c r="D100" s="15">
        <v>5</v>
      </c>
      <c r="E100" s="15"/>
      <c r="F100" s="15"/>
      <c r="G100" s="15">
        <v>11</v>
      </c>
      <c r="H100" s="15">
        <v>5</v>
      </c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>
        <v>21</v>
      </c>
      <c r="V100" s="15">
        <v>5</v>
      </c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>
        <v>21</v>
      </c>
      <c r="AH100" s="15">
        <v>5</v>
      </c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BV100" s="1" cm="1">
        <f t="array" ref="BV100:BY118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BW100" s="1" t="str">
        <v>Gauthier</v>
      </c>
      <c r="BX100" s="1">
        <v>7.391</v>
      </c>
      <c r="BY100" s="1">
        <v>69</v>
      </c>
    </row>
    <row r="101" spans="1:77" x14ac:dyDescent="0.3">
      <c r="A101" s="15" t="s">
        <v>7</v>
      </c>
      <c r="B101" s="15">
        <v>46</v>
      </c>
      <c r="C101" s="15">
        <v>29</v>
      </c>
      <c r="D101" s="15">
        <v>12</v>
      </c>
      <c r="E101" s="15"/>
      <c r="F101" s="15"/>
      <c r="G101" s="15">
        <v>78</v>
      </c>
      <c r="H101" s="15">
        <v>13</v>
      </c>
      <c r="I101" s="15"/>
      <c r="J101" s="15"/>
      <c r="K101" s="15">
        <v>93</v>
      </c>
      <c r="L101" s="15">
        <v>12</v>
      </c>
      <c r="M101" s="15">
        <v>32</v>
      </c>
      <c r="N101" s="15">
        <v>11</v>
      </c>
      <c r="O101" s="15"/>
      <c r="P101" s="15"/>
      <c r="Q101" s="15"/>
      <c r="R101" s="15"/>
      <c r="S101" s="15">
        <v>119</v>
      </c>
      <c r="T101" s="15">
        <v>12</v>
      </c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BV101" s="1">
        <v>2</v>
      </c>
      <c r="BW101" s="1" t="str">
        <v>Boris</v>
      </c>
      <c r="BX101" s="1">
        <v>7.2460000000000004</v>
      </c>
      <c r="BY101" s="1">
        <v>1013</v>
      </c>
    </row>
    <row r="102" spans="1:77" x14ac:dyDescent="0.3">
      <c r="A102" s="15" t="s">
        <v>7</v>
      </c>
      <c r="B102" s="15">
        <v>45</v>
      </c>
      <c r="C102" s="15">
        <v>102</v>
      </c>
      <c r="D102" s="15">
        <v>16</v>
      </c>
      <c r="E102" s="15"/>
      <c r="F102" s="15"/>
      <c r="G102" s="15">
        <v>138</v>
      </c>
      <c r="H102" s="15">
        <v>16</v>
      </c>
      <c r="I102" s="15"/>
      <c r="J102" s="15"/>
      <c r="K102" s="15">
        <v>51</v>
      </c>
      <c r="L102" s="15">
        <v>8</v>
      </c>
      <c r="M102" s="15">
        <v>5</v>
      </c>
      <c r="N102" s="15">
        <v>8</v>
      </c>
      <c r="O102" s="15"/>
      <c r="P102" s="15"/>
      <c r="Q102" s="15"/>
      <c r="R102" s="15"/>
      <c r="S102" s="15">
        <v>116</v>
      </c>
      <c r="T102" s="15">
        <v>16</v>
      </c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BV102" s="1">
        <v>3</v>
      </c>
      <c r="BW102" s="1" t="str">
        <v>Joachim</v>
      </c>
      <c r="BX102" s="1">
        <v>6.202</v>
      </c>
      <c r="BY102" s="1">
        <v>104</v>
      </c>
    </row>
    <row r="103" spans="1:77" x14ac:dyDescent="0.3">
      <c r="A103" s="15" t="s">
        <v>7</v>
      </c>
      <c r="B103" s="15">
        <v>44</v>
      </c>
      <c r="C103" s="15">
        <v>104</v>
      </c>
      <c r="D103" s="15">
        <v>20</v>
      </c>
      <c r="E103" s="15">
        <v>119</v>
      </c>
      <c r="F103" s="15">
        <v>20</v>
      </c>
      <c r="G103" s="15">
        <v>128</v>
      </c>
      <c r="H103" s="15">
        <v>20</v>
      </c>
      <c r="I103" s="15"/>
      <c r="J103" s="15"/>
      <c r="K103" s="15"/>
      <c r="L103" s="15"/>
      <c r="M103" s="15"/>
      <c r="N103" s="15"/>
      <c r="O103" s="15"/>
      <c r="P103" s="15"/>
      <c r="Q103" s="15">
        <v>143</v>
      </c>
      <c r="R103" s="15">
        <v>20</v>
      </c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BV103" s="1">
        <v>4</v>
      </c>
      <c r="BW103" s="1" t="str">
        <v>Tom</v>
      </c>
      <c r="BX103" s="1">
        <v>6.109</v>
      </c>
      <c r="BY103" s="1">
        <v>193</v>
      </c>
    </row>
    <row r="104" spans="1:77" x14ac:dyDescent="0.3">
      <c r="A104" s="15" t="s">
        <v>7</v>
      </c>
      <c r="B104" s="15">
        <v>43</v>
      </c>
      <c r="C104" s="15">
        <v>-16</v>
      </c>
      <c r="D104" s="15">
        <v>9</v>
      </c>
      <c r="E104" s="15"/>
      <c r="F104" s="15"/>
      <c r="G104" s="15">
        <v>94</v>
      </c>
      <c r="H104" s="15">
        <v>9</v>
      </c>
      <c r="I104" s="15"/>
      <c r="J104" s="15"/>
      <c r="K104" s="15"/>
      <c r="L104" s="15"/>
      <c r="M104" s="15">
        <v>58</v>
      </c>
      <c r="N104" s="15">
        <v>9</v>
      </c>
      <c r="O104" s="15"/>
      <c r="P104" s="15"/>
      <c r="Q104" s="15"/>
      <c r="R104" s="15"/>
      <c r="S104" s="15">
        <v>66</v>
      </c>
      <c r="T104" s="15">
        <v>9</v>
      </c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BV104" s="1">
        <v>5</v>
      </c>
      <c r="BW104" s="1" t="str">
        <v>Célian</v>
      </c>
      <c r="BX104" s="1">
        <v>6.0709999999999997</v>
      </c>
      <c r="BY104" s="1">
        <v>241</v>
      </c>
    </row>
    <row r="105" spans="1:77" x14ac:dyDescent="0.3">
      <c r="A105" s="15" t="s">
        <v>7</v>
      </c>
      <c r="B105" s="15">
        <v>42</v>
      </c>
      <c r="C105" s="15">
        <v>63</v>
      </c>
      <c r="D105" s="15">
        <v>13</v>
      </c>
      <c r="E105" s="15">
        <v>89</v>
      </c>
      <c r="F105" s="15">
        <v>13</v>
      </c>
      <c r="G105" s="15">
        <v>43</v>
      </c>
      <c r="H105" s="15">
        <v>13</v>
      </c>
      <c r="I105" s="15"/>
      <c r="J105" s="15"/>
      <c r="K105" s="15"/>
      <c r="L105" s="15"/>
      <c r="M105" s="15"/>
      <c r="N105" s="15"/>
      <c r="O105" s="15"/>
      <c r="P105" s="15"/>
      <c r="Q105" s="15">
        <v>60</v>
      </c>
      <c r="R105" s="15">
        <v>13</v>
      </c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BV105" s="1">
        <v>6</v>
      </c>
      <c r="BW105" s="1" t="str">
        <v>William</v>
      </c>
      <c r="BX105" s="1">
        <v>6.069</v>
      </c>
      <c r="BY105" s="1">
        <v>29</v>
      </c>
    </row>
    <row r="106" spans="1:77" x14ac:dyDescent="0.3">
      <c r="A106" s="15" t="s">
        <v>7</v>
      </c>
      <c r="B106" s="15">
        <v>41</v>
      </c>
      <c r="C106" s="15">
        <v>16</v>
      </c>
      <c r="D106" s="15">
        <v>6</v>
      </c>
      <c r="E106" s="15">
        <v>16</v>
      </c>
      <c r="F106" s="15">
        <v>6</v>
      </c>
      <c r="G106" s="15">
        <v>21</v>
      </c>
      <c r="H106" s="15">
        <v>6</v>
      </c>
      <c r="I106" s="15">
        <v>40</v>
      </c>
      <c r="J106" s="15">
        <v>6</v>
      </c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BV106" s="1">
        <v>7</v>
      </c>
      <c r="BW106" s="1" t="str">
        <v>Lou</v>
      </c>
      <c r="BX106" s="1">
        <v>5.9169999999999998</v>
      </c>
      <c r="BY106" s="1">
        <v>72</v>
      </c>
    </row>
    <row r="107" spans="1:77" x14ac:dyDescent="0.3">
      <c r="A107" s="15" t="s">
        <v>7</v>
      </c>
      <c r="B107" s="15">
        <v>40</v>
      </c>
      <c r="C107" s="15">
        <v>58</v>
      </c>
      <c r="D107" s="15">
        <v>8</v>
      </c>
      <c r="E107" s="15">
        <v>22</v>
      </c>
      <c r="F107" s="15">
        <v>8</v>
      </c>
      <c r="G107" s="15">
        <v>62</v>
      </c>
      <c r="H107" s="15">
        <v>8</v>
      </c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>
        <v>16</v>
      </c>
      <c r="AD107" s="15">
        <v>8</v>
      </c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>
        <v>22</v>
      </c>
      <c r="AZ107" s="15">
        <v>8</v>
      </c>
      <c r="BV107" s="1">
        <v>8</v>
      </c>
      <c r="BW107" s="1" t="str">
        <v>Samuel</v>
      </c>
      <c r="BX107" s="1">
        <v>5.91</v>
      </c>
      <c r="BY107" s="1">
        <v>211</v>
      </c>
    </row>
    <row r="108" spans="1:77" x14ac:dyDescent="0.3">
      <c r="A108" s="15" t="s">
        <v>7</v>
      </c>
      <c r="B108" s="15">
        <v>39</v>
      </c>
      <c r="C108" s="15">
        <v>38</v>
      </c>
      <c r="D108" s="15">
        <v>4</v>
      </c>
      <c r="E108" s="15">
        <v>46</v>
      </c>
      <c r="F108" s="15">
        <v>4</v>
      </c>
      <c r="G108" s="15">
        <v>-14</v>
      </c>
      <c r="H108" s="15">
        <v>3</v>
      </c>
      <c r="I108" s="15">
        <v>38</v>
      </c>
      <c r="J108" s="15">
        <v>4</v>
      </c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>
        <v>0</v>
      </c>
      <c r="AF108" s="15">
        <v>1</v>
      </c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BV108" s="1">
        <v>9</v>
      </c>
      <c r="BW108" s="1" t="str">
        <v>Mehdi</v>
      </c>
      <c r="BX108" s="1">
        <v>5.77</v>
      </c>
      <c r="BY108" s="1">
        <v>421</v>
      </c>
    </row>
    <row r="109" spans="1:77" x14ac:dyDescent="0.3">
      <c r="A109" s="15" t="s">
        <v>7</v>
      </c>
      <c r="B109" s="15">
        <v>38</v>
      </c>
      <c r="C109" s="15">
        <v>47</v>
      </c>
      <c r="D109" s="15">
        <v>8</v>
      </c>
      <c r="E109" s="15"/>
      <c r="F109" s="15"/>
      <c r="G109" s="15">
        <v>46</v>
      </c>
      <c r="H109" s="15">
        <v>8</v>
      </c>
      <c r="I109" s="15"/>
      <c r="J109" s="15"/>
      <c r="K109" s="15">
        <v>65</v>
      </c>
      <c r="L109" s="15">
        <v>8</v>
      </c>
      <c r="M109" s="15"/>
      <c r="N109" s="15"/>
      <c r="O109" s="15">
        <v>47</v>
      </c>
      <c r="P109" s="15">
        <v>8</v>
      </c>
      <c r="Q109" s="15"/>
      <c r="R109" s="15"/>
      <c r="S109" s="15"/>
      <c r="T109" s="15"/>
      <c r="U109" s="15"/>
      <c r="V109" s="15"/>
      <c r="W109" s="15">
        <v>-8</v>
      </c>
      <c r="X109" s="15">
        <v>8</v>
      </c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BV109" s="1">
        <v>10</v>
      </c>
      <c r="BW109" s="1" t="str">
        <v>Damien</v>
      </c>
      <c r="BX109" s="1">
        <v>5.4109999999999996</v>
      </c>
      <c r="BY109" s="1">
        <v>587</v>
      </c>
    </row>
    <row r="110" spans="1:77" x14ac:dyDescent="0.3">
      <c r="A110" s="15" t="s">
        <v>7</v>
      </c>
      <c r="B110" s="15">
        <v>37</v>
      </c>
      <c r="C110" s="15">
        <v>128</v>
      </c>
      <c r="D110" s="15">
        <v>20</v>
      </c>
      <c r="E110" s="15"/>
      <c r="F110" s="15"/>
      <c r="G110" s="15">
        <v>152</v>
      </c>
      <c r="H110" s="15">
        <v>20</v>
      </c>
      <c r="I110" s="15"/>
      <c r="J110" s="15"/>
      <c r="K110" s="15"/>
      <c r="L110" s="15"/>
      <c r="M110" s="15">
        <v>94</v>
      </c>
      <c r="N110" s="15">
        <v>20</v>
      </c>
      <c r="O110" s="15"/>
      <c r="P110" s="15"/>
      <c r="Q110" s="15">
        <v>121</v>
      </c>
      <c r="R110" s="15">
        <v>20</v>
      </c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BV110" s="1">
        <v>11</v>
      </c>
      <c r="BW110" s="1" t="str">
        <v>Achille</v>
      </c>
      <c r="BX110" s="1">
        <v>5.3470000000000004</v>
      </c>
      <c r="BY110" s="1">
        <v>824</v>
      </c>
    </row>
    <row r="111" spans="1:77" x14ac:dyDescent="0.3">
      <c r="A111" s="15" t="s">
        <v>7</v>
      </c>
      <c r="B111" s="15">
        <v>36</v>
      </c>
      <c r="C111" s="15">
        <v>68</v>
      </c>
      <c r="D111" s="15">
        <v>12</v>
      </c>
      <c r="E111" s="15">
        <v>45</v>
      </c>
      <c r="F111" s="15">
        <v>12</v>
      </c>
      <c r="G111" s="15"/>
      <c r="H111" s="15"/>
      <c r="I111" s="15"/>
      <c r="J111" s="15"/>
      <c r="K111" s="15">
        <v>49</v>
      </c>
      <c r="L111" s="15">
        <v>12</v>
      </c>
      <c r="M111" s="15">
        <v>98</v>
      </c>
      <c r="N111" s="15">
        <v>12</v>
      </c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BV111" s="1">
        <v>12</v>
      </c>
      <c r="BW111" s="1" t="str">
        <v>Quentin</v>
      </c>
      <c r="BX111" s="1">
        <v>5.0149999999999997</v>
      </c>
      <c r="BY111" s="1">
        <v>67</v>
      </c>
    </row>
    <row r="112" spans="1:77" x14ac:dyDescent="0.3">
      <c r="A112" s="15" t="s">
        <v>7</v>
      </c>
      <c r="B112" s="15">
        <v>35</v>
      </c>
      <c r="C112" s="15">
        <v>43</v>
      </c>
      <c r="D112" s="15">
        <v>12</v>
      </c>
      <c r="E112" s="15">
        <v>75</v>
      </c>
      <c r="F112" s="15">
        <v>12</v>
      </c>
      <c r="G112" s="15">
        <v>74</v>
      </c>
      <c r="H112" s="15">
        <v>12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BV112" s="1">
        <v>13</v>
      </c>
      <c r="BW112" s="1" t="str">
        <v>Paul</v>
      </c>
      <c r="BX112" s="1">
        <v>4.8129999999999997</v>
      </c>
      <c r="BY112" s="1">
        <v>32</v>
      </c>
    </row>
    <row r="113" spans="1:80" x14ac:dyDescent="0.3">
      <c r="A113" s="15" t="s">
        <v>7</v>
      </c>
      <c r="B113" s="15">
        <v>34</v>
      </c>
      <c r="C113" s="15"/>
      <c r="D113" s="15"/>
      <c r="E113" s="15">
        <v>24</v>
      </c>
      <c r="F113" s="15">
        <v>4</v>
      </c>
      <c r="G113" s="15">
        <v>27</v>
      </c>
      <c r="H113" s="15">
        <v>4</v>
      </c>
      <c r="I113" s="15"/>
      <c r="J113" s="15"/>
      <c r="K113" s="15"/>
      <c r="L113" s="15"/>
      <c r="M113" s="15">
        <v>-32</v>
      </c>
      <c r="N113" s="15">
        <v>4</v>
      </c>
      <c r="O113" s="15"/>
      <c r="P113" s="15"/>
      <c r="Q113" s="15">
        <v>68</v>
      </c>
      <c r="R113" s="15">
        <v>12</v>
      </c>
      <c r="S113" s="15">
        <v>56</v>
      </c>
      <c r="T113" s="15">
        <v>4</v>
      </c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BV113" s="1">
        <v>14</v>
      </c>
      <c r="BW113" s="1" t="str">
        <v>Jules</v>
      </c>
      <c r="BX113" s="1">
        <v>4.6959999999999997</v>
      </c>
      <c r="BY113" s="1">
        <v>135</v>
      </c>
    </row>
    <row r="114" spans="1:80" x14ac:dyDescent="0.3">
      <c r="A114" s="15" t="s">
        <v>7</v>
      </c>
      <c r="B114" s="15">
        <v>33</v>
      </c>
      <c r="C114" s="15">
        <v>11</v>
      </c>
      <c r="D114" s="15">
        <v>2</v>
      </c>
      <c r="E114" s="15"/>
      <c r="F114" s="15"/>
      <c r="G114" s="15">
        <v>11</v>
      </c>
      <c r="H114" s="15">
        <v>2</v>
      </c>
      <c r="I114" s="15">
        <v>13</v>
      </c>
      <c r="J114" s="15">
        <v>2</v>
      </c>
      <c r="K114" s="15"/>
      <c r="L114" s="15"/>
      <c r="M114" s="15"/>
      <c r="N114" s="15"/>
      <c r="O114" s="15"/>
      <c r="P114" s="15"/>
      <c r="Q114" s="15"/>
      <c r="R114" s="15"/>
      <c r="S114" s="15">
        <v>13</v>
      </c>
      <c r="T114" s="15">
        <v>2</v>
      </c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6"/>
      <c r="AQ114" s="15"/>
      <c r="AR114" s="15"/>
      <c r="AS114" s="15"/>
      <c r="AT114" s="15"/>
      <c r="AU114" s="15"/>
      <c r="AV114" s="15"/>
      <c r="AW114" s="15"/>
      <c r="AX114" s="15"/>
      <c r="AY114" s="15"/>
      <c r="BV114" s="1">
        <v>15</v>
      </c>
      <c r="BW114" s="1" t="str">
        <v>Marie</v>
      </c>
      <c r="BX114" s="1">
        <v>4.2389999999999999</v>
      </c>
      <c r="BY114" s="1">
        <v>207</v>
      </c>
    </row>
    <row r="115" spans="1:80" x14ac:dyDescent="0.3">
      <c r="A115" s="15" t="s">
        <v>7</v>
      </c>
      <c r="B115" s="15">
        <v>32</v>
      </c>
      <c r="C115" s="15">
        <v>14</v>
      </c>
      <c r="D115" s="15">
        <v>11</v>
      </c>
      <c r="E115" s="15"/>
      <c r="F115" s="15"/>
      <c r="G115" s="15">
        <v>105</v>
      </c>
      <c r="H115" s="15">
        <v>11</v>
      </c>
      <c r="I115" s="15">
        <v>81</v>
      </c>
      <c r="J115" s="15">
        <v>11</v>
      </c>
      <c r="K115" s="15">
        <v>61</v>
      </c>
      <c r="L115" s="15">
        <v>11</v>
      </c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BV115" s="1">
        <v>16</v>
      </c>
      <c r="BW115" s="1" t="str">
        <v>Joey</v>
      </c>
      <c r="BX115" s="1">
        <v>3.0339999999999998</v>
      </c>
      <c r="BY115" s="1">
        <v>58</v>
      </c>
    </row>
    <row r="116" spans="1:80" x14ac:dyDescent="0.3">
      <c r="A116" s="15" t="s">
        <v>7</v>
      </c>
      <c r="B116" s="15">
        <v>31</v>
      </c>
      <c r="C116" s="15">
        <v>40</v>
      </c>
      <c r="D116" s="15">
        <v>4</v>
      </c>
      <c r="E116" s="15"/>
      <c r="F116" s="15"/>
      <c r="G116" s="15">
        <v>1</v>
      </c>
      <c r="H116" s="15">
        <v>4</v>
      </c>
      <c r="I116" s="15"/>
      <c r="J116" s="15"/>
      <c r="K116" s="15">
        <v>30</v>
      </c>
      <c r="L116" s="15">
        <v>4</v>
      </c>
      <c r="M116" s="15"/>
      <c r="N116" s="15"/>
      <c r="O116" s="15"/>
      <c r="P116" s="15"/>
      <c r="Q116" s="15"/>
      <c r="R116" s="15"/>
      <c r="S116" s="15">
        <v>19</v>
      </c>
      <c r="T116" s="15">
        <v>4</v>
      </c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BV116" s="1">
        <v>17</v>
      </c>
      <c r="BW116" s="1" t="str">
        <v>Luca</v>
      </c>
      <c r="BX116" s="1">
        <v>3.0110000000000001</v>
      </c>
      <c r="BY116" s="1">
        <v>178</v>
      </c>
    </row>
    <row r="117" spans="1:80" x14ac:dyDescent="0.3">
      <c r="A117" s="15" t="s">
        <v>7</v>
      </c>
      <c r="B117" s="15">
        <v>30</v>
      </c>
      <c r="C117" s="15">
        <f>56/2</f>
        <v>28</v>
      </c>
      <c r="D117" s="15">
        <f>6/2</f>
        <v>3</v>
      </c>
      <c r="E117" s="15"/>
      <c r="F117" s="15"/>
      <c r="G117" s="15">
        <v>-28</v>
      </c>
      <c r="H117" s="15">
        <v>6</v>
      </c>
      <c r="I117" s="15"/>
      <c r="J117" s="15"/>
      <c r="K117" s="15">
        <f>56/2</f>
        <v>28</v>
      </c>
      <c r="L117" s="15">
        <f>6/2</f>
        <v>3</v>
      </c>
      <c r="M117" s="15">
        <v>28</v>
      </c>
      <c r="N117" s="15">
        <v>6</v>
      </c>
      <c r="O117" s="15"/>
      <c r="P117" s="15"/>
      <c r="Q117" s="15"/>
      <c r="R117" s="15"/>
      <c r="S117" s="15">
        <v>53</v>
      </c>
      <c r="T117" s="15">
        <v>6</v>
      </c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BV117" s="1">
        <v>18</v>
      </c>
      <c r="BW117" s="1" t="str">
        <v>Fantinne</v>
      </c>
      <c r="BX117" s="1">
        <v>2.9609999999999999</v>
      </c>
      <c r="BY117" s="1">
        <v>51</v>
      </c>
    </row>
    <row r="118" spans="1:80" x14ac:dyDescent="0.3">
      <c r="A118" s="15" t="s">
        <v>7</v>
      </c>
      <c r="B118" s="15">
        <v>29</v>
      </c>
      <c r="C118" s="15">
        <v>7</v>
      </c>
      <c r="D118" s="15">
        <v>6</v>
      </c>
      <c r="E118" s="15">
        <v>41</v>
      </c>
      <c r="F118" s="15">
        <v>6</v>
      </c>
      <c r="G118" s="15">
        <v>42</v>
      </c>
      <c r="H118" s="15">
        <v>6</v>
      </c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>
        <v>34</v>
      </c>
      <c r="T118" s="15">
        <v>6</v>
      </c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BV118" s="1">
        <v>19</v>
      </c>
      <c r="BW118" s="1" t="str">
        <v>Loulou</v>
      </c>
      <c r="BX118" s="1">
        <v>2.0750000000000002</v>
      </c>
      <c r="BY118" s="1">
        <v>67</v>
      </c>
    </row>
    <row r="119" spans="1:80" x14ac:dyDescent="0.3">
      <c r="A119" s="15" t="s">
        <v>7</v>
      </c>
      <c r="B119" s="15">
        <v>28</v>
      </c>
      <c r="C119" s="15">
        <v>31</v>
      </c>
      <c r="D119" s="15">
        <v>4</v>
      </c>
      <c r="E119" s="15">
        <v>55</v>
      </c>
      <c r="F119" s="15">
        <v>4</v>
      </c>
      <c r="G119" s="15">
        <v>-8</v>
      </c>
      <c r="H119" s="15">
        <v>4</v>
      </c>
      <c r="I119" s="15">
        <v>33</v>
      </c>
      <c r="J119" s="15">
        <v>4</v>
      </c>
      <c r="K119" s="15"/>
      <c r="L119" s="15"/>
      <c r="M119" s="15">
        <v>11</v>
      </c>
      <c r="N119" s="15">
        <v>4</v>
      </c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</row>
    <row r="120" spans="1:80" x14ac:dyDescent="0.3">
      <c r="A120" s="15" t="s">
        <v>7</v>
      </c>
      <c r="B120" s="15">
        <v>27</v>
      </c>
      <c r="C120" s="15">
        <v>42</v>
      </c>
      <c r="D120" s="15">
        <v>9</v>
      </c>
      <c r="E120" s="15">
        <v>73</v>
      </c>
      <c r="F120" s="15">
        <v>9</v>
      </c>
      <c r="G120" s="15">
        <v>34</v>
      </c>
      <c r="H120" s="15">
        <v>9</v>
      </c>
      <c r="I120" s="15">
        <v>62</v>
      </c>
      <c r="J120" s="15">
        <v>9</v>
      </c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</row>
    <row r="121" spans="1:80" x14ac:dyDescent="0.3">
      <c r="A121" s="15" t="s">
        <v>7</v>
      </c>
      <c r="B121" s="15">
        <v>26</v>
      </c>
      <c r="C121" s="15">
        <v>0</v>
      </c>
      <c r="D121" s="15">
        <v>1</v>
      </c>
      <c r="E121" s="15">
        <v>8</v>
      </c>
      <c r="F121" s="15">
        <v>1</v>
      </c>
      <c r="G121" s="15"/>
      <c r="H121" s="15"/>
      <c r="I121" s="15"/>
      <c r="J121" s="15"/>
      <c r="K121" s="15"/>
      <c r="L121" s="15"/>
      <c r="M121" s="15">
        <v>21</v>
      </c>
      <c r="N121" s="15">
        <v>2</v>
      </c>
      <c r="O121" s="15"/>
      <c r="P121" s="15"/>
      <c r="Q121" s="15"/>
      <c r="R121" s="15"/>
      <c r="S121" s="15">
        <v>13</v>
      </c>
      <c r="T121" s="15">
        <v>2</v>
      </c>
      <c r="U121" s="15"/>
      <c r="V121" s="15"/>
      <c r="W121" s="15"/>
      <c r="X121" s="15"/>
      <c r="Y121" s="15"/>
      <c r="Z121" s="15"/>
      <c r="AA121" s="15"/>
      <c r="AB121" s="15"/>
      <c r="AC121" s="15">
        <v>0</v>
      </c>
      <c r="AD121" s="15">
        <v>2</v>
      </c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</row>
    <row r="122" spans="1:80" x14ac:dyDescent="0.3">
      <c r="A122" s="15" t="s">
        <v>7</v>
      </c>
      <c r="B122" s="15">
        <v>25</v>
      </c>
      <c r="C122" s="15"/>
      <c r="D122" s="15"/>
      <c r="E122" s="15">
        <v>-14</v>
      </c>
      <c r="F122" s="15">
        <v>2</v>
      </c>
      <c r="G122" s="15">
        <v>27</v>
      </c>
      <c r="H122" s="15">
        <v>2</v>
      </c>
      <c r="I122" s="15">
        <v>-14</v>
      </c>
      <c r="J122" s="15">
        <v>2</v>
      </c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>
        <v>27</v>
      </c>
      <c r="AF122" s="15">
        <v>2</v>
      </c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</row>
    <row r="123" spans="1:80" x14ac:dyDescent="0.3">
      <c r="A123" s="15" t="s">
        <v>7</v>
      </c>
      <c r="B123" s="15">
        <v>24</v>
      </c>
      <c r="C123" s="15">
        <v>14</v>
      </c>
      <c r="D123" s="15">
        <v>2</v>
      </c>
      <c r="E123" s="15"/>
      <c r="F123" s="15"/>
      <c r="G123" s="15">
        <v>34</v>
      </c>
      <c r="H123" s="15">
        <v>2</v>
      </c>
      <c r="I123" s="15"/>
      <c r="J123" s="15"/>
      <c r="K123" s="15">
        <v>20</v>
      </c>
      <c r="L123" s="15">
        <v>2</v>
      </c>
      <c r="M123" s="15">
        <v>0</v>
      </c>
      <c r="N123" s="15">
        <v>2</v>
      </c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</row>
    <row r="124" spans="1:80" x14ac:dyDescent="0.3">
      <c r="A124" s="15" t="s">
        <v>7</v>
      </c>
      <c r="B124" s="15">
        <v>23</v>
      </c>
      <c r="C124" s="15">
        <v>13</v>
      </c>
      <c r="D124" s="15">
        <v>9</v>
      </c>
      <c r="E124" s="15"/>
      <c r="F124" s="15"/>
      <c r="G124" s="15">
        <v>99</v>
      </c>
      <c r="H124" s="15">
        <v>9</v>
      </c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>
        <v>28</v>
      </c>
      <c r="T124" s="15">
        <v>9</v>
      </c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>
        <v>42</v>
      </c>
      <c r="AL124" s="15">
        <v>9</v>
      </c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</row>
    <row r="125" spans="1:80" x14ac:dyDescent="0.3">
      <c r="A125" s="15" t="s">
        <v>7</v>
      </c>
      <c r="B125" s="15">
        <v>22</v>
      </c>
      <c r="C125" s="15">
        <v>19</v>
      </c>
      <c r="D125" s="15">
        <v>8</v>
      </c>
      <c r="E125" s="15">
        <v>82</v>
      </c>
      <c r="F125" s="15">
        <v>8</v>
      </c>
      <c r="G125" s="15">
        <v>24</v>
      </c>
      <c r="H125" s="15">
        <v>8</v>
      </c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>
        <v>79</v>
      </c>
      <c r="AL125" s="15">
        <v>8</v>
      </c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</row>
    <row r="126" spans="1:80" x14ac:dyDescent="0.3">
      <c r="A126" s="15" t="s">
        <v>7</v>
      </c>
      <c r="B126" s="15">
        <v>21</v>
      </c>
      <c r="C126" s="15">
        <v>93</v>
      </c>
      <c r="D126" s="15">
        <v>20</v>
      </c>
      <c r="E126" s="15">
        <v>156</v>
      </c>
      <c r="F126" s="15">
        <v>20</v>
      </c>
      <c r="G126" s="15">
        <v>153</v>
      </c>
      <c r="H126" s="15">
        <v>20</v>
      </c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>
        <v>59</v>
      </c>
      <c r="X126" s="15">
        <v>20</v>
      </c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BV126" s="1" t="str" cm="1">
        <f t="array" ref="BV126:BX143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BW126" s="1">
        <v>7.3913043478260869</v>
      </c>
      <c r="BX126" s="1">
        <v>69</v>
      </c>
      <c r="CA126" s="1" t="str" cm="1">
        <f t="array" ref="CA126:CB144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B126" s="1">
        <v>7.3913043478260869</v>
      </c>
    </row>
    <row r="127" spans="1:80" x14ac:dyDescent="0.3">
      <c r="A127" s="15" t="s">
        <v>7</v>
      </c>
      <c r="B127" s="15">
        <v>20</v>
      </c>
      <c r="C127" s="15"/>
      <c r="D127" s="15"/>
      <c r="E127" s="15">
        <v>35</v>
      </c>
      <c r="F127" s="15">
        <v>8</v>
      </c>
      <c r="G127" s="15">
        <v>45</v>
      </c>
      <c r="H127" s="15">
        <v>8</v>
      </c>
      <c r="I127" s="15"/>
      <c r="J127" s="15"/>
      <c r="K127" s="15"/>
      <c r="L127" s="15"/>
      <c r="M127" s="15">
        <v>27</v>
      </c>
      <c r="N127" s="15">
        <v>8</v>
      </c>
      <c r="O127" s="15"/>
      <c r="P127" s="15"/>
      <c r="Q127" s="15"/>
      <c r="R127" s="15"/>
      <c r="S127" s="15">
        <v>78</v>
      </c>
      <c r="T127" s="15">
        <v>8</v>
      </c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BV127" s="1" t="str">
        <v>Boris</v>
      </c>
      <c r="BW127" s="1">
        <v>7.2462981243830207</v>
      </c>
      <c r="BX127" s="1">
        <v>1013</v>
      </c>
      <c r="CA127" s="1" t="str">
        <v>Boris</v>
      </c>
      <c r="CB127" s="1">
        <v>7.2462981243830207</v>
      </c>
    </row>
    <row r="128" spans="1:80" x14ac:dyDescent="0.3">
      <c r="A128" s="15" t="s">
        <v>7</v>
      </c>
      <c r="B128" s="15">
        <v>19</v>
      </c>
      <c r="C128" s="15">
        <v>2</v>
      </c>
      <c r="D128" s="15">
        <v>7</v>
      </c>
      <c r="E128" s="15">
        <v>57</v>
      </c>
      <c r="F128" s="15">
        <v>7</v>
      </c>
      <c r="G128" s="15">
        <v>73</v>
      </c>
      <c r="H128" s="15">
        <v>7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>
        <v>29</v>
      </c>
      <c r="T128" s="15">
        <v>7</v>
      </c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BV128" s="1" t="str">
        <v>Joachim</v>
      </c>
      <c r="BW128" s="1">
        <v>6.2019230769230766</v>
      </c>
      <c r="BX128" s="1">
        <v>104</v>
      </c>
      <c r="CA128" s="1" t="str">
        <v>Joachim</v>
      </c>
      <c r="CB128" s="1">
        <v>6.2019230769230766</v>
      </c>
    </row>
    <row r="129" spans="1:80" x14ac:dyDescent="0.3">
      <c r="A129" s="15" t="s">
        <v>7</v>
      </c>
      <c r="B129" s="15">
        <v>18</v>
      </c>
      <c r="C129" s="15">
        <v>50</v>
      </c>
      <c r="D129" s="15">
        <v>10</v>
      </c>
      <c r="E129" s="15"/>
      <c r="F129" s="15"/>
      <c r="G129" s="15">
        <v>103</v>
      </c>
      <c r="H129" s="15">
        <v>10</v>
      </c>
      <c r="I129" s="15"/>
      <c r="J129" s="15"/>
      <c r="K129" s="15"/>
      <c r="L129" s="15"/>
      <c r="M129" s="15"/>
      <c r="N129" s="15"/>
      <c r="O129" s="15"/>
      <c r="P129" s="15"/>
      <c r="Q129" s="15">
        <v>44</v>
      </c>
      <c r="R129" s="15">
        <v>10</v>
      </c>
      <c r="S129" s="15"/>
      <c r="T129" s="15"/>
      <c r="U129" s="15">
        <v>2</v>
      </c>
      <c r="V129" s="15">
        <v>10</v>
      </c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BV129" s="1" t="str">
        <v>Tom</v>
      </c>
      <c r="BW129" s="1">
        <v>6.1088082901554408</v>
      </c>
      <c r="BX129" s="1">
        <v>193</v>
      </c>
      <c r="CA129" s="1" t="str">
        <v>Tom</v>
      </c>
      <c r="CB129" s="1">
        <v>6.1088082901554408</v>
      </c>
    </row>
    <row r="130" spans="1:80" x14ac:dyDescent="0.3">
      <c r="A130" s="15" t="s">
        <v>7</v>
      </c>
      <c r="B130" s="15">
        <v>17</v>
      </c>
      <c r="C130" s="15">
        <v>28</v>
      </c>
      <c r="D130" s="15">
        <v>8</v>
      </c>
      <c r="E130" s="15">
        <v>8</v>
      </c>
      <c r="F130" s="15">
        <v>8</v>
      </c>
      <c r="G130" s="15">
        <v>94</v>
      </c>
      <c r="H130" s="15">
        <v>8</v>
      </c>
      <c r="I130" s="15"/>
      <c r="J130" s="15"/>
      <c r="K130" s="15"/>
      <c r="L130" s="15"/>
      <c r="M130" s="15">
        <v>39</v>
      </c>
      <c r="N130" s="15">
        <v>8</v>
      </c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BV130" s="1" t="str">
        <v>Célian</v>
      </c>
      <c r="BW130" s="1">
        <v>6.0705394190871367</v>
      </c>
      <c r="BX130" s="1">
        <v>241</v>
      </c>
      <c r="CA130" s="1" t="str">
        <v>Célian</v>
      </c>
      <c r="CB130" s="1">
        <v>6.0705394190871367</v>
      </c>
    </row>
    <row r="131" spans="1:80" x14ac:dyDescent="0.3">
      <c r="A131" s="15" t="s">
        <v>7</v>
      </c>
      <c r="B131" s="15">
        <v>16</v>
      </c>
      <c r="C131" s="15">
        <v>59</v>
      </c>
      <c r="D131" s="15">
        <v>11</v>
      </c>
      <c r="E131" s="15">
        <v>99</v>
      </c>
      <c r="F131" s="15">
        <v>11</v>
      </c>
      <c r="G131" s="15">
        <v>46</v>
      </c>
      <c r="H131" s="15">
        <v>11</v>
      </c>
      <c r="I131" s="15">
        <v>42</v>
      </c>
      <c r="J131" s="15">
        <v>11</v>
      </c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BV131" s="1" t="str">
        <v>William</v>
      </c>
      <c r="BW131" s="1">
        <v>6.068965517241379</v>
      </c>
      <c r="BX131" s="1">
        <v>29</v>
      </c>
      <c r="CA131" s="1" t="str">
        <v>William</v>
      </c>
      <c r="CB131" s="1">
        <v>6.068965517241379</v>
      </c>
    </row>
    <row r="132" spans="1:80" x14ac:dyDescent="0.3">
      <c r="A132" s="15" t="s">
        <v>7</v>
      </c>
      <c r="B132" s="15">
        <v>15</v>
      </c>
      <c r="C132" s="15">
        <v>21</v>
      </c>
      <c r="D132" s="15">
        <v>12</v>
      </c>
      <c r="E132" s="15">
        <v>61</v>
      </c>
      <c r="F132" s="15">
        <v>12</v>
      </c>
      <c r="G132" s="15">
        <v>91</v>
      </c>
      <c r="H132" s="15">
        <v>12</v>
      </c>
      <c r="I132" s="15"/>
      <c r="J132" s="15"/>
      <c r="K132" s="15"/>
      <c r="L132" s="15"/>
      <c r="M132" s="15"/>
      <c r="N132" s="15"/>
      <c r="O132" s="15">
        <v>70</v>
      </c>
      <c r="P132" s="15">
        <v>12</v>
      </c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BV132" s="1" t="str">
        <v>Samuel</v>
      </c>
      <c r="BW132" s="1">
        <v>5.9099526066350707</v>
      </c>
      <c r="BX132" s="1">
        <v>211</v>
      </c>
      <c r="CA132" s="1" t="str">
        <v>Lou</v>
      </c>
      <c r="CB132" s="1">
        <v>5.916666666666667</v>
      </c>
    </row>
    <row r="133" spans="1:80" x14ac:dyDescent="0.3">
      <c r="A133" s="15" t="s">
        <v>7</v>
      </c>
      <c r="B133" s="15">
        <v>14</v>
      </c>
      <c r="C133" s="15">
        <v>29</v>
      </c>
      <c r="D133" s="15">
        <v>12</v>
      </c>
      <c r="E133" s="15">
        <v>55</v>
      </c>
      <c r="F133" s="15">
        <v>12</v>
      </c>
      <c r="G133" s="15">
        <v>107</v>
      </c>
      <c r="H133" s="15">
        <v>12</v>
      </c>
      <c r="I133" s="15">
        <v>81</v>
      </c>
      <c r="J133" s="15">
        <v>12</v>
      </c>
      <c r="K133" s="15">
        <v>84</v>
      </c>
      <c r="L133" s="15">
        <v>12</v>
      </c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BV133" s="1" t="str">
        <v>Mehdi</v>
      </c>
      <c r="BW133" s="1">
        <v>5.7695961995249405</v>
      </c>
      <c r="BX133" s="1">
        <v>421</v>
      </c>
      <c r="CA133" s="1" t="str">
        <v>Samuel</v>
      </c>
      <c r="CB133" s="1">
        <v>5.9099526066350707</v>
      </c>
    </row>
    <row r="134" spans="1:80" x14ac:dyDescent="0.3">
      <c r="A134" s="15" t="s">
        <v>7</v>
      </c>
      <c r="B134" s="15">
        <v>13</v>
      </c>
      <c r="C134" s="15">
        <v>162</v>
      </c>
      <c r="D134" s="15">
        <v>20</v>
      </c>
      <c r="E134" s="15">
        <v>125</v>
      </c>
      <c r="F134" s="15">
        <v>20</v>
      </c>
      <c r="G134" s="15">
        <v>87</v>
      </c>
      <c r="H134" s="15">
        <v>20</v>
      </c>
      <c r="I134" s="15">
        <v>150</v>
      </c>
      <c r="J134" s="15">
        <v>20</v>
      </c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BV134" s="1" t="str">
        <v>Damien</v>
      </c>
      <c r="BW134" s="1">
        <v>5.4105621805792161</v>
      </c>
      <c r="BX134" s="1">
        <v>587</v>
      </c>
      <c r="CA134" s="1" t="str">
        <v>Mehdi</v>
      </c>
      <c r="CB134" s="1">
        <v>5.7695961995249405</v>
      </c>
    </row>
    <row r="135" spans="1:80" x14ac:dyDescent="0.3">
      <c r="A135" s="1" t="s">
        <v>25</v>
      </c>
      <c r="B135" s="1" t="s">
        <v>26</v>
      </c>
      <c r="BV135" s="1" t="str">
        <v>Achille</v>
      </c>
      <c r="BW135" s="1">
        <v>5.3470873786407767</v>
      </c>
      <c r="BX135" s="1">
        <v>824</v>
      </c>
      <c r="CA135" s="1" t="str">
        <v>Damien</v>
      </c>
      <c r="CB135" s="1">
        <v>5.4105621805792161</v>
      </c>
    </row>
    <row r="136" spans="1:80" x14ac:dyDescent="0.3">
      <c r="A136" s="1" t="s">
        <v>7</v>
      </c>
      <c r="B136" s="1">
        <v>12</v>
      </c>
      <c r="C136" s="1">
        <v>91</v>
      </c>
      <c r="D136" s="1">
        <v>11</v>
      </c>
      <c r="G136" s="1">
        <v>40</v>
      </c>
      <c r="H136" s="1">
        <v>11</v>
      </c>
      <c r="U136" s="1">
        <v>64</v>
      </c>
      <c r="V136" s="1">
        <v>11</v>
      </c>
      <c r="Y136" s="1">
        <v>64</v>
      </c>
      <c r="Z136" s="1">
        <v>11</v>
      </c>
      <c r="BV136" s="1" t="str">
        <v>Quentin</v>
      </c>
      <c r="BW136" s="1">
        <v>5.0149253731343286</v>
      </c>
      <c r="BX136" s="1">
        <v>67</v>
      </c>
      <c r="CA136" s="1" t="str">
        <v>Achille</v>
      </c>
      <c r="CB136" s="1">
        <v>5.3470873786407767</v>
      </c>
    </row>
    <row r="137" spans="1:80" x14ac:dyDescent="0.3">
      <c r="A137" s="1" t="s">
        <v>7</v>
      </c>
      <c r="B137" s="1">
        <v>11</v>
      </c>
      <c r="C137" s="1">
        <v>64</v>
      </c>
      <c r="D137" s="1">
        <v>20</v>
      </c>
      <c r="E137" s="1">
        <v>87</v>
      </c>
      <c r="F137" s="1">
        <v>20</v>
      </c>
      <c r="G137" s="1">
        <v>185</v>
      </c>
      <c r="H137" s="1">
        <v>20</v>
      </c>
      <c r="M137" s="1">
        <v>134</v>
      </c>
      <c r="N137" s="1">
        <v>20</v>
      </c>
      <c r="BV137" s="1" t="str">
        <v>Paul</v>
      </c>
      <c r="BW137" s="1">
        <v>4.8125</v>
      </c>
      <c r="BX137" s="1">
        <v>32</v>
      </c>
      <c r="CA137" s="1" t="str">
        <v>Quentin</v>
      </c>
      <c r="CB137" s="1">
        <v>5.0149253731343286</v>
      </c>
    </row>
    <row r="138" spans="1:80" x14ac:dyDescent="0.3">
      <c r="A138" s="1" t="s">
        <v>7</v>
      </c>
      <c r="B138" s="1">
        <v>10</v>
      </c>
      <c r="C138" s="1">
        <v>-2</v>
      </c>
      <c r="D138" s="1">
        <v>8</v>
      </c>
      <c r="G138" s="1">
        <v>65</v>
      </c>
      <c r="H138" s="1">
        <v>8</v>
      </c>
      <c r="K138" s="1">
        <v>44</v>
      </c>
      <c r="L138" s="1">
        <v>8</v>
      </c>
      <c r="M138" s="1">
        <v>80</v>
      </c>
      <c r="N138" s="1">
        <v>8</v>
      </c>
      <c r="BV138" s="1" t="str">
        <v>Jules</v>
      </c>
      <c r="BW138" s="1">
        <v>4.6962962962962962</v>
      </c>
      <c r="BX138" s="1">
        <v>135</v>
      </c>
      <c r="CA138" s="1" t="str">
        <v>Paul</v>
      </c>
      <c r="CB138" s="1">
        <v>4.8125</v>
      </c>
    </row>
    <row r="139" spans="1:80" x14ac:dyDescent="0.3">
      <c r="A139" s="1" t="s">
        <v>7</v>
      </c>
      <c r="B139" s="1">
        <v>9</v>
      </c>
      <c r="C139" s="1">
        <v>45</v>
      </c>
      <c r="D139" s="1">
        <v>9</v>
      </c>
      <c r="G139" s="1">
        <v>47</v>
      </c>
      <c r="H139" s="1">
        <v>9</v>
      </c>
      <c r="Y139" s="1">
        <v>44</v>
      </c>
      <c r="Z139" s="1">
        <v>9</v>
      </c>
      <c r="AA139" s="1">
        <v>42</v>
      </c>
      <c r="AB139" s="1">
        <v>9</v>
      </c>
      <c r="BV139" s="1" t="str">
        <v>Marie</v>
      </c>
      <c r="BW139" s="1">
        <v>4.2391304347826084</v>
      </c>
      <c r="BX139" s="1">
        <v>207</v>
      </c>
      <c r="CA139" s="1" t="str">
        <v>Jules</v>
      </c>
      <c r="CB139" s="1">
        <v>4.6962962962962962</v>
      </c>
    </row>
    <row r="140" spans="1:80" x14ac:dyDescent="0.3">
      <c r="A140" s="1" t="s">
        <v>7</v>
      </c>
      <c r="B140" s="1">
        <v>8</v>
      </c>
      <c r="C140" s="1">
        <v>61</v>
      </c>
      <c r="D140" s="1">
        <v>12</v>
      </c>
      <c r="G140" s="1">
        <v>96</v>
      </c>
      <c r="H140" s="1">
        <v>12</v>
      </c>
      <c r="Y140" s="1">
        <v>46</v>
      </c>
      <c r="Z140" s="1">
        <v>12</v>
      </c>
      <c r="AA140" s="1">
        <v>47</v>
      </c>
      <c r="AB140" s="1">
        <v>12</v>
      </c>
      <c r="BV140" s="1" t="str">
        <v>Joey</v>
      </c>
      <c r="BW140" s="1">
        <v>3.0344827586206895</v>
      </c>
      <c r="BX140" s="1">
        <v>58</v>
      </c>
      <c r="CA140" s="1" t="str">
        <v>Marie</v>
      </c>
      <c r="CB140" s="1">
        <v>4.2391304347826084</v>
      </c>
    </row>
    <row r="141" spans="1:80" x14ac:dyDescent="0.3">
      <c r="A141" s="1" t="s">
        <v>7</v>
      </c>
      <c r="B141" s="1">
        <v>7</v>
      </c>
      <c r="C141" s="1">
        <v>36</v>
      </c>
      <c r="D141" s="1">
        <v>2</v>
      </c>
      <c r="E141" s="1">
        <v>0</v>
      </c>
      <c r="F141" s="1">
        <v>2</v>
      </c>
      <c r="G141" s="1">
        <v>0</v>
      </c>
      <c r="H141" s="1">
        <v>2</v>
      </c>
      <c r="O141" s="1">
        <v>12</v>
      </c>
      <c r="P141" s="1">
        <v>2</v>
      </c>
      <c r="BV141" s="1" t="str">
        <v>Luca</v>
      </c>
      <c r="BW141" s="1">
        <v>3.0112359550561796</v>
      </c>
      <c r="BX141" s="1">
        <v>178</v>
      </c>
      <c r="CA141" s="1" t="str">
        <v>Joey</v>
      </c>
      <c r="CB141" s="1">
        <v>3.0344827586206895</v>
      </c>
    </row>
    <row r="142" spans="1:80" x14ac:dyDescent="0.3">
      <c r="A142" s="1" t="s">
        <v>7</v>
      </c>
      <c r="B142" s="1">
        <v>6</v>
      </c>
      <c r="C142" s="1">
        <v>99</v>
      </c>
      <c r="D142" s="1">
        <v>13</v>
      </c>
      <c r="E142" s="1">
        <v>23</v>
      </c>
      <c r="F142" s="1">
        <v>13</v>
      </c>
      <c r="G142" s="1">
        <v>90</v>
      </c>
      <c r="H142" s="1">
        <v>13</v>
      </c>
      <c r="I142" s="1">
        <v>131</v>
      </c>
      <c r="J142" s="1">
        <v>13</v>
      </c>
      <c r="BV142" s="1" t="str">
        <v>Fantinne</v>
      </c>
      <c r="BW142" s="1">
        <v>2.9607843137254903</v>
      </c>
      <c r="BX142" s="1">
        <v>51</v>
      </c>
      <c r="CA142" s="1" t="str">
        <v>Luca</v>
      </c>
      <c r="CB142" s="1">
        <v>3.0112359550561796</v>
      </c>
    </row>
    <row r="143" spans="1:80" x14ac:dyDescent="0.3">
      <c r="A143" s="1" t="s">
        <v>7</v>
      </c>
      <c r="B143" s="1">
        <v>5</v>
      </c>
      <c r="C143" s="1">
        <v>56</v>
      </c>
      <c r="D143" s="1">
        <v>9</v>
      </c>
      <c r="E143" s="1">
        <v>35</v>
      </c>
      <c r="F143" s="1">
        <v>9</v>
      </c>
      <c r="G143" s="1">
        <v>106</v>
      </c>
      <c r="H143" s="1">
        <v>9</v>
      </c>
      <c r="W143" s="1">
        <v>55</v>
      </c>
      <c r="X143" s="1">
        <v>9</v>
      </c>
      <c r="BV143" s="1" t="str">
        <v>Loulou</v>
      </c>
      <c r="BW143" s="1">
        <v>2.0746268656716418</v>
      </c>
      <c r="BX143" s="1">
        <v>67</v>
      </c>
      <c r="CA143" s="1" t="str">
        <v>Fantinne</v>
      </c>
      <c r="CB143" s="1">
        <v>2.9607843137254903</v>
      </c>
    </row>
    <row r="144" spans="1:80" x14ac:dyDescent="0.3">
      <c r="A144" s="1" t="s">
        <v>7</v>
      </c>
      <c r="B144" s="1">
        <v>4</v>
      </c>
      <c r="C144" s="1">
        <v>83</v>
      </c>
      <c r="D144" s="1">
        <v>11</v>
      </c>
      <c r="E144" s="1">
        <v>8</v>
      </c>
      <c r="F144" s="1">
        <v>11</v>
      </c>
      <c r="G144" s="1">
        <v>110</v>
      </c>
      <c r="H144" s="1">
        <v>11</v>
      </c>
      <c r="I144" s="1">
        <v>57</v>
      </c>
      <c r="J144" s="1">
        <v>11</v>
      </c>
      <c r="CA144" s="1" t="str">
        <v>Loulou</v>
      </c>
      <c r="CB144" s="1">
        <v>2.0746268656716418</v>
      </c>
    </row>
    <row r="145" spans="1:14" x14ac:dyDescent="0.3">
      <c r="A145" s="1" t="s">
        <v>7</v>
      </c>
      <c r="B145" s="1">
        <v>3</v>
      </c>
      <c r="C145" s="1">
        <v>71</v>
      </c>
      <c r="D145" s="1">
        <v>13</v>
      </c>
      <c r="G145" s="1">
        <v>88</v>
      </c>
      <c r="H145" s="1">
        <v>13</v>
      </c>
      <c r="I145" s="1">
        <v>116</v>
      </c>
      <c r="J145" s="1">
        <v>13</v>
      </c>
      <c r="M145" s="1">
        <v>29</v>
      </c>
      <c r="N145" s="1">
        <v>13</v>
      </c>
    </row>
    <row r="146" spans="1:14" x14ac:dyDescent="0.3">
      <c r="A146" s="1" t="s">
        <v>7</v>
      </c>
      <c r="B146" s="1">
        <v>2</v>
      </c>
      <c r="C146" s="1">
        <v>21</v>
      </c>
      <c r="D146" s="1">
        <v>15</v>
      </c>
      <c r="E146" s="1">
        <v>33</v>
      </c>
      <c r="F146" s="1">
        <v>15</v>
      </c>
      <c r="G146" s="1">
        <v>90</v>
      </c>
      <c r="H146" s="1">
        <v>15</v>
      </c>
      <c r="I146" s="1">
        <v>99</v>
      </c>
      <c r="J146" s="1">
        <v>15</v>
      </c>
    </row>
    <row r="147" spans="1:14" x14ac:dyDescent="0.3">
      <c r="A147" s="1" t="s">
        <v>7</v>
      </c>
      <c r="B147" s="1">
        <v>1</v>
      </c>
      <c r="C147" s="1">
        <v>-5</v>
      </c>
      <c r="D147" s="1">
        <v>12</v>
      </c>
      <c r="E147" s="1">
        <v>88</v>
      </c>
      <c r="F147" s="1">
        <v>12</v>
      </c>
      <c r="G147" s="1">
        <v>64</v>
      </c>
      <c r="H147" s="1">
        <v>12</v>
      </c>
      <c r="I147" s="1">
        <v>95</v>
      </c>
      <c r="J147" s="1">
        <v>12</v>
      </c>
    </row>
  </sheetData>
  <sortState xmlns:xlrd2="http://schemas.microsoft.com/office/spreadsheetml/2017/richdata2" ref="A136:AM147">
    <sortCondition descending="1" ref="B136:B147"/>
  </sortState>
  <mergeCells count="28"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</mergeCells>
  <conditionalFormatting sqref="C1 E1 G1 I1 K1 M1 O1 Q1 S1 U1 W1 Y1 AA1 AC1 AE1 AG1 AI1 AK1 AM1 AO1 AQ1 AS1 AU1 AW1 AY1 BA1 BC1 BE1 C9:AM9 AO9 AQ9 AS9 AU9 AW9 AY9 BA9 BC9 BE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54 I10:I54 K10:K54 M10:M54 C10:C147 E10:E147 O10:O147 Q10:Q147 S10:S147 U10:U147 W10:W147 Y10:Y147 AA10:AA147 AC10:AC147 AE10:AE147 AG10:AG147 AI10:AI147 AK10:AK147 AM10:AM147 AO10:AO147 AQ10:AQ147 AS10:AS147 AU10:AU147 AW10:AW147 AY10:AY147 BA10:BA147 BC10:BC147 BE10:BE147 G56:G147 I56:I147 K56:K147 M56:M147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54 J10:J54 L10:L54 N10:N54 D10:D147 F10:F147 P10:P147 R10:R147 T10:T147 V10:V147 X10:X147 Z10:Z147 AB10:AB147 AD10:AD147 AF10:AF147 AH10:AH147 AJ10:AJ147 AL10:AL147 AN10:AN147 AP10:AP147 AR10:AR147 AT10:AT147 AV10:AV147 AX10:AX147 AZ10:AZ147 BB10:BB147 BD10:BD147 BF10:BF147 H56:H147 J56:J147 L56:L147 N56:N147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O68:BO96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T68:BT89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0"/>
  <sheetViews>
    <sheetView zoomScale="122" workbookViewId="0">
      <selection activeCell="B19" sqref="B19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stat'!BP55:BP64</f>
        <v>légende</v>
      </c>
    </row>
    <row r="2" spans="1:9" x14ac:dyDescent="0.3">
      <c r="A2" s="25" cm="1">
        <f t="array" ref="A2:D20">_xlfn.ANCHORARRAY('All stat'!BL68)</f>
        <v>1</v>
      </c>
      <c r="B2" s="25" t="str">
        <v>Gauthier</v>
      </c>
      <c r="C2" s="25" t="str">
        <v>7.391</v>
      </c>
      <c r="D2" s="25">
        <v>69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7.246</v>
      </c>
      <c r="D3" s="25">
        <v>1013</v>
      </c>
      <c r="F3" t="str">
        <v>entre 1 et 10</v>
      </c>
      <c r="G3" s="23"/>
      <c r="H3" t="str" cm="1">
        <f t="array" ref="H3:I10">'All stat'!BR57:BS64</f>
        <v>anecdotique</v>
      </c>
      <c r="I3" t="str">
        <v>négligeable</v>
      </c>
    </row>
    <row r="4" spans="1:9" x14ac:dyDescent="0.3">
      <c r="A4" s="25">
        <v>3</v>
      </c>
      <c r="B4" s="25" t="str">
        <v>Joachim</v>
      </c>
      <c r="C4" s="25" t="str">
        <v>6.202</v>
      </c>
      <c r="D4" s="25">
        <v>104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Tom</v>
      </c>
      <c r="C5" s="25" t="str">
        <v>6.109</v>
      </c>
      <c r="D5" s="25">
        <v>193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Célian</v>
      </c>
      <c r="C6" s="25" t="str">
        <v>6.071</v>
      </c>
      <c r="D6" s="25">
        <v>241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William</v>
      </c>
      <c r="C7" s="25" t="str">
        <v>6.069</v>
      </c>
      <c r="D7" s="25">
        <v>29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Lou</v>
      </c>
      <c r="C8" s="25" t="str">
        <v>5.917</v>
      </c>
      <c r="D8" s="25">
        <v>72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Samuel</v>
      </c>
      <c r="C9" s="25" t="str">
        <v>5.910</v>
      </c>
      <c r="D9" s="25">
        <v>211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Mehdi</v>
      </c>
      <c r="C10" s="25" t="str">
        <v>5.770</v>
      </c>
      <c r="D10" s="25">
        <v>421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Damien</v>
      </c>
      <c r="C11" s="25" t="str">
        <v>5.411</v>
      </c>
      <c r="D11" s="25">
        <v>587</v>
      </c>
    </row>
    <row r="12" spans="1:9" x14ac:dyDescent="0.3">
      <c r="A12" s="25">
        <v>11</v>
      </c>
      <c r="B12" s="25" t="str">
        <v>Achille</v>
      </c>
      <c r="C12" s="25" t="str">
        <v>5.347</v>
      </c>
      <c r="D12" s="25">
        <v>824</v>
      </c>
    </row>
    <row r="13" spans="1:9" x14ac:dyDescent="0.3">
      <c r="A13" s="25">
        <v>12</v>
      </c>
      <c r="B13" s="25" t="str">
        <v>Quentin</v>
      </c>
      <c r="C13" s="25" t="str">
        <v>5.015</v>
      </c>
      <c r="D13" s="25">
        <v>67</v>
      </c>
    </row>
    <row r="14" spans="1:9" x14ac:dyDescent="0.3">
      <c r="A14" s="25">
        <v>13</v>
      </c>
      <c r="B14" s="25" t="str">
        <v>Paul</v>
      </c>
      <c r="C14" s="25" t="str">
        <v>4.813</v>
      </c>
      <c r="D14" s="25">
        <v>32</v>
      </c>
    </row>
    <row r="15" spans="1:9" x14ac:dyDescent="0.3">
      <c r="A15" s="25">
        <v>14</v>
      </c>
      <c r="B15" s="25" t="str">
        <v>Jules</v>
      </c>
      <c r="C15" s="25" t="str">
        <v>4.696</v>
      </c>
      <c r="D15" s="25">
        <v>135</v>
      </c>
    </row>
    <row r="16" spans="1:9" x14ac:dyDescent="0.3">
      <c r="A16" s="25">
        <v>15</v>
      </c>
      <c r="B16" s="25" t="str">
        <v>Marie</v>
      </c>
      <c r="C16" s="25" t="str">
        <v>4.239</v>
      </c>
      <c r="D16" s="25">
        <v>207</v>
      </c>
    </row>
    <row r="17" spans="1:4" x14ac:dyDescent="0.3">
      <c r="A17" s="25">
        <v>16</v>
      </c>
      <c r="B17" s="25" t="str">
        <v>Joey</v>
      </c>
      <c r="C17" s="25" t="str">
        <v>3.034</v>
      </c>
      <c r="D17" s="25">
        <v>58</v>
      </c>
    </row>
    <row r="18" spans="1:4" x14ac:dyDescent="0.3">
      <c r="A18" s="25">
        <v>17</v>
      </c>
      <c r="B18" s="25" t="str">
        <v>Luca</v>
      </c>
      <c r="C18" s="25" t="str">
        <v>3.011</v>
      </c>
      <c r="D18" s="25">
        <v>178</v>
      </c>
    </row>
    <row r="19" spans="1:4" x14ac:dyDescent="0.3">
      <c r="A19" s="25">
        <v>18</v>
      </c>
      <c r="B19" s="25" t="str">
        <v>Fantinne</v>
      </c>
      <c r="C19" s="25" t="str">
        <v>2.961</v>
      </c>
      <c r="D19" s="25">
        <v>51</v>
      </c>
    </row>
    <row r="20" spans="1:4" x14ac:dyDescent="0.3">
      <c r="A20" s="25">
        <v>19</v>
      </c>
      <c r="B20" s="25" t="str">
        <v>Loulou</v>
      </c>
      <c r="C20" s="25" t="str">
        <v>2.075</v>
      </c>
      <c r="D20" s="25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2026-02-20T18:29:14Z</dcterms:modified>
</cp:coreProperties>
</file>