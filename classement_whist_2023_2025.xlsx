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467" documentId="14_{167F2DC3-291A-4B33-AB7D-1A6E034E4A5E}" xr6:coauthVersionLast="47" xr6:coauthVersionMax="47" xr10:uidLastSave="{56626FC7-473A-41B5-B87D-6272F8803A8D}"/>
  <bookViews>
    <workbookView xWindow="-108" yWindow="-108" windowWidth="23256" windowHeight="12456" activeTab="1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Z8" i="1" l="1"/>
  <c r="BW4" i="1"/>
  <c r="BX4" i="1"/>
  <c r="BY4" i="1"/>
  <c r="BZ4" i="1"/>
  <c r="CA4" i="1"/>
  <c r="CB4" i="1"/>
  <c r="CC4" i="1"/>
  <c r="CD4" i="1"/>
  <c r="BW6" i="1"/>
  <c r="BX6" i="1"/>
  <c r="BY6" i="1"/>
  <c r="BZ6" i="1"/>
  <c r="CA6" i="1"/>
  <c r="CB6" i="1"/>
  <c r="CA5" i="1" s="1"/>
  <c r="CC6" i="1"/>
  <c r="CD6" i="1"/>
  <c r="BW8" i="1"/>
  <c r="BX8" i="1"/>
  <c r="BY8" i="1"/>
  <c r="CA8" i="1"/>
  <c r="CB8" i="1"/>
  <c r="CC8" i="1"/>
  <c r="CD8" i="1"/>
  <c r="BM4" i="1"/>
  <c r="BN4" i="1"/>
  <c r="BO4" i="1"/>
  <c r="BP4" i="1"/>
  <c r="BQ4" i="1"/>
  <c r="BR4" i="1"/>
  <c r="BS4" i="1"/>
  <c r="BT4" i="1"/>
  <c r="BU4" i="1"/>
  <c r="BV4" i="1"/>
  <c r="BM6" i="1"/>
  <c r="BN6" i="1"/>
  <c r="BO6" i="1"/>
  <c r="BP6" i="1"/>
  <c r="BQ6" i="1"/>
  <c r="BR6" i="1"/>
  <c r="BS6" i="1"/>
  <c r="BT6" i="1"/>
  <c r="BU6" i="1"/>
  <c r="BV6" i="1"/>
  <c r="BM8" i="1"/>
  <c r="BN8" i="1"/>
  <c r="BO8" i="1"/>
  <c r="BP8" i="1"/>
  <c r="BQ8" i="1"/>
  <c r="BR8" i="1"/>
  <c r="BS8" i="1"/>
  <c r="BT8" i="1"/>
  <c r="BU8" i="1"/>
  <c r="BV8" i="1"/>
  <c r="BG4" i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F1" i="2" a="1"/>
  <c r="CI5" i="1"/>
  <c r="CI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Y7" i="1" l="1"/>
  <c r="BW3" i="1"/>
  <c r="CD2" i="1"/>
  <c r="CC1" i="1" s="1"/>
  <c r="BZ2" i="1"/>
  <c r="BY1" i="1" s="1"/>
  <c r="BW2" i="1"/>
  <c r="BX2" i="1"/>
  <c r="BW1" i="1" s="1"/>
  <c r="BY2" i="1"/>
  <c r="CA2" i="1"/>
  <c r="CB2" i="1"/>
  <c r="CA1" i="1" s="1"/>
  <c r="BY3" i="1"/>
  <c r="CA3" i="1"/>
  <c r="BW5" i="1"/>
  <c r="BY5" i="1"/>
  <c r="CC5" i="1"/>
  <c r="BW7" i="1"/>
  <c r="CA7" i="1"/>
  <c r="CC7" i="1"/>
  <c r="CC2" i="1"/>
  <c r="CC3" i="1"/>
  <c r="BO5" i="1"/>
  <c r="BO7" i="1"/>
  <c r="BN2" i="1"/>
  <c r="BM1" i="1" s="1"/>
  <c r="BP2" i="1"/>
  <c r="BO1" i="1" s="1"/>
  <c r="BR2" i="1"/>
  <c r="BT2" i="1"/>
  <c r="BV2" i="1"/>
  <c r="BM5" i="1"/>
  <c r="BQ5" i="1"/>
  <c r="BS5" i="1"/>
  <c r="BU5" i="1"/>
  <c r="BM7" i="1"/>
  <c r="BQ7" i="1"/>
  <c r="BS7" i="1"/>
  <c r="BU7" i="1"/>
  <c r="BM2" i="1"/>
  <c r="BM3" i="1"/>
  <c r="BO2" i="1"/>
  <c r="BO3" i="1"/>
  <c r="BQ2" i="1"/>
  <c r="BQ3" i="1"/>
  <c r="BS2" i="1"/>
  <c r="BS3" i="1"/>
  <c r="BU2" i="1"/>
  <c r="BU3" i="1"/>
  <c r="BG5" i="1"/>
  <c r="BK5" i="1"/>
  <c r="BK7" i="1"/>
  <c r="BL2" i="1"/>
  <c r="BI7" i="1"/>
  <c r="BI5" i="1"/>
  <c r="BG7" i="1"/>
  <c r="BJ2" i="1"/>
  <c r="BH2" i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69" i="1"/>
  <c r="L6" i="1" s="1"/>
  <c r="K169" i="1"/>
  <c r="K6" i="1" s="1"/>
  <c r="D169" i="1"/>
  <c r="D6" i="1" s="1"/>
  <c r="C169" i="1"/>
  <c r="C6" i="1" s="1"/>
  <c r="D4" i="1"/>
  <c r="BK1" i="1" l="1"/>
  <c r="BS1" i="1"/>
  <c r="BU1" i="1"/>
  <c r="BG1" i="1"/>
  <c r="BI1" i="1"/>
  <c r="BQ1" i="1"/>
  <c r="BC1" i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Y1" i="1" l="1"/>
  <c r="Y1" i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G13" i="2" l="1"/>
  <c r="CH132" i="1"/>
  <c r="CJ120" i="1" a="1"/>
  <c r="CO120" i="1" a="1"/>
  <c r="CT152" i="1" a="1"/>
  <c r="CT178" i="1" a="1"/>
  <c r="CY178" i="1" a="1"/>
  <c r="CT120" i="1" a="1"/>
  <c r="CH4" i="1"/>
  <c r="A2" i="2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<sst xmlns="http://schemas.openxmlformats.org/spreadsheetml/2006/main" count="444" uniqueCount="104">
  <si>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</si>
  <si>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</si>
  <si>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</si>
  <si>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</si>
  <si>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</si>
  <si>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</si>
  <si>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</si>
  <si>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</si>
  <si>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</si>
  <si>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</si>
  <si>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</si>
  <si>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</si>
  <si>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</si>
  <si>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</si>
  <si>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</si>
  <si>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</si>
  <si>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</si>
  <si>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</si>
  <si>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</si>
  <si>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</si>
  <si>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</si>
  <si>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</si>
  <si>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</si>
  <si>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</si>
  <si>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</si>
  <si>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</si>
  <si>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</si>
  <si>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</si>
  <si>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</si>
  <si>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</si>
  <si>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</si>
  <si>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</si>
  <si>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</si>
  <si>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</si>
  <si>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</si>
  <si>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</si>
  <si>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</si>
  <si>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</si>
  <si>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</si>
  <si>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</si>
  <si>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</si>
  <si>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</si>
  <si>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</si>
  <si>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</si>
  <si>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</si>
  <si>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</si>
  <si>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</si>
  <si>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</si>
  <si>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</si>
  <si>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</si>
  <si>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</si>
  <si>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</si>
  <si>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</si>
  <si>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</si>
  <si>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</si>
  <si>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</si>
  <si>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</si>
  <si>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</si>
  <si>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</si>
  <si>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</si>
  <si>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</si>
  <si>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</si>
  <si>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</si>
  <si>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</si>
  <si>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</si>
  <si>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</si>
  <si>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</si>
  <si>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</si>
  <si>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</si>
  <si>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</si>
  <si>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</si>
  <si>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</si>
  <si>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</si>
  <si>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</si>
  <si>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</si>
  <si>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</si>
  <si>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</si>
  <si>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</si>
  <si>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</si>
  <si>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</si>
  <si>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</si>
  <si>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</si>
  <si>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</si>
  <si>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</si>
  <si>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</si>
  <si>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</si>
  <si>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</si>
  <si>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</si>
  <si>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</si>
  <si>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</si>
  <si>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</si>
  <si>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</si>
  <si>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gaspard</t>
  </si>
  <si>
    <t>ethan</t>
  </si>
  <si>
    <t>?</t>
  </si>
  <si>
    <t>Romain</t>
  </si>
  <si>
    <t>Sam</t>
  </si>
  <si>
    <t>Vincent</t>
  </si>
  <si>
    <t>Thomas</t>
  </si>
  <si>
    <t>Bruno</t>
  </si>
  <si>
    <t>Séba</t>
  </si>
  <si>
    <t>Samuel Fraire</t>
  </si>
  <si>
    <t>moyenne des moyennes</t>
  </si>
  <si>
    <t>Thibaut (coloc)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</si>
</sst>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Z199"/>
  <sheetViews>
    <sheetView zoomScale="106" zoomScaleNormal="72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Q13" sqref="Q13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83" width="5.77734375" style="1" customWidth="1"/>
    <col min="84" max="84" width="11.5546875" style="1"/>
    <col min="85" max="86" width="20.6640625" style="1" customWidth="1"/>
    <col min="87" max="87" width="11.5546875" style="1"/>
    <col min="88" max="88" width="16.88671875" style="1" customWidth="1"/>
    <col min="89" max="90" width="11.5546875" style="1"/>
    <col min="91" max="91" width="20.33203125" style="1" customWidth="1"/>
    <col min="92" max="92" width="23.6640625" style="1" customWidth="1"/>
    <col min="93" max="93" width="21.109375" style="1" customWidth="1"/>
    <col min="94" max="94" width="20.33203125" style="1" customWidth="1"/>
    <col min="95" max="95" width="19.21875" style="1" customWidth="1"/>
    <col min="96" max="96" width="20.77734375" style="1" customWidth="1"/>
    <col min="97" max="97" width="15.77734375" style="1" customWidth="1"/>
    <col min="98" max="16384" width="11.5546875" style="1"/>
  </cols>
  <sheetData>
    <row r="1" spans="1:87" x14ac:dyDescent="0.3">
      <c r="A1" s="1" t="s">
        <v>0</v>
      </c>
      <c r="B1" s="1" t="s">
        <v>1</v>
      </c>
      <c r="C1" s="1">
        <f t="shared" ref="C1" si="0">IF(D2&gt;19,C2/D2,"/")</f>
        <v>5.4508875739644971</v>
      </c>
      <c r="D1" s="1" t="s">
        <v>2</v>
      </c>
      <c r="E1" s="1">
        <f t="shared" ref="E1" si="1">IF(F2&gt;19,E2/F2,"/")</f>
        <v>5.5945945945945947</v>
      </c>
      <c r="F1" s="1" t="s">
        <v>2</v>
      </c>
      <c r="G1" s="1">
        <f t="shared" ref="G1" si="2">IF(H2&gt;19,G2/H2,"/")</f>
        <v>7.2416666666666663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5.3955223880597014</v>
      </c>
      <c r="N1" s="1" t="s">
        <v>2</v>
      </c>
      <c r="O1" s="1">
        <f t="shared" ref="O1" si="6">IF(P2&gt;19,O2/P2,"/")</f>
        <v>6.67</v>
      </c>
      <c r="P1" s="1" t="s">
        <v>2</v>
      </c>
      <c r="Q1" s="1">
        <f t="shared" ref="Q1" si="7">IF(R2&gt;19,Q2/R2,"/")</f>
        <v>6.3260340632603409</v>
      </c>
      <c r="R1" s="1" t="s">
        <v>2</v>
      </c>
      <c r="S1" s="1">
        <f t="shared" ref="S1" si="8">IF(T2&gt;19,S2/T2,"/")</f>
        <v>5.9383753501400562</v>
      </c>
      <c r="T1" s="1" t="s">
        <v>2</v>
      </c>
      <c r="U1" s="1">
        <f t="shared" ref="U1" si="9">IF(V2&gt;19,U2/V2,"/")</f>
        <v>3.2315789473684209</v>
      </c>
      <c r="V1" s="1" t="s">
        <v>2</v>
      </c>
      <c r="W1" s="1">
        <f t="shared" ref="W1" si="10">IF(X2&gt;19,W2/X2,"/")</f>
        <v>3.1782178217821784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4.8478260869565215</v>
      </c>
      <c r="AB1" s="1" t="s">
        <v>2</v>
      </c>
      <c r="AC1" s="1">
        <f>IF(AD2&gt;19,AC2/AD2,"/")</f>
        <v>5.4590643274853798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3.6440677966101696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5.191919191919192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>
        <f t="shared" ref="AY1" si="23">IF(AZ2&gt;19,AY2/AZ2,"/")</f>
        <v>4.5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4.6010638297872344</v>
      </c>
      <c r="BF1" s="1" t="s">
        <v>2</v>
      </c>
      <c r="BG1" s="1">
        <f t="shared" ref="BG1" si="27">IF(BH2&gt;19,BG2/BH2,"/")</f>
        <v>5.2249999999999996</v>
      </c>
      <c r="BH1" s="1" t="s">
        <v>2</v>
      </c>
      <c r="BI1" s="1">
        <f t="shared" ref="BI1" si="28">IF(BJ2&gt;19,BI2/BJ2,"/")</f>
        <v>5.3421052631578947</v>
      </c>
      <c r="BJ1" s="1" t="s">
        <v>2</v>
      </c>
      <c r="BK1" s="1">
        <f t="shared" ref="BK1" si="29">IF(BL2&gt;19,BK2/BL2,"/")</f>
        <v>5.5</v>
      </c>
      <c r="BL1" s="1" t="s">
        <v>2</v>
      </c>
      <c r="BM1" s="1" t="str">
        <f t="shared" ref="BM1" si="30">IF(BN2&gt;19,BM2/BN2,"/")</f>
        <v>/</v>
      </c>
      <c r="BN1" s="1" t="s">
        <v>2</v>
      </c>
      <c r="BO1" s="1" t="str">
        <f t="shared" ref="BO1" si="31">IF(BP2&gt;19,BO2/BP2,"/")</f>
        <v>/</v>
      </c>
      <c r="BP1" s="1" t="s">
        <v>2</v>
      </c>
      <c r="BQ1" s="1">
        <f t="shared" ref="BQ1" si="32">IF(BR2&gt;19,BQ2/BR2,"/")</f>
        <v>6.75</v>
      </c>
      <c r="BR1" s="1" t="s">
        <v>2</v>
      </c>
      <c r="BS1" s="1">
        <f t="shared" ref="BS1" si="33">IF(BT2&gt;19,BS2/BT2,"/")</f>
        <v>5.4</v>
      </c>
      <c r="BT1" s="1" t="s">
        <v>2</v>
      </c>
      <c r="BU1" s="1">
        <f t="shared" ref="BU1" si="34">IF(BV2&gt;19,BU2/BV2,"/")</f>
        <v>3.3571428571428572</v>
      </c>
      <c r="BV1" s="1" t="s">
        <v>2</v>
      </c>
      <c r="BW1" s="1" t="str">
        <f t="shared" ref="BW1" si="35">IF(BX2&gt;19,BW2/BX2,"/")</f>
        <v>/</v>
      </c>
      <c r="BX1" s="1" t="s">
        <v>2</v>
      </c>
      <c r="BY1" s="1" t="str">
        <f t="shared" ref="BY1" si="36">IF(BZ2&gt;19,BY2/BZ2,"/")</f>
        <v>/</v>
      </c>
      <c r="BZ1" s="1" t="s">
        <v>2</v>
      </c>
      <c r="CA1" s="1" t="str">
        <f t="shared" ref="CA1" si="37">IF(CB2&gt;19,CA2/CB2,"/")</f>
        <v>/</v>
      </c>
      <c r="CB1" s="1" t="s">
        <v>2</v>
      </c>
      <c r="CC1" s="1" t="str">
        <f t="shared" ref="CC1" si="38">IF(CD2&gt;19,CC2/CD2,"/")</f>
        <v>/</v>
      </c>
      <c r="CD1" s="1" t="s">
        <v>2</v>
      </c>
    </row>
    <row r="2" spans="1:87" x14ac:dyDescent="0.3">
      <c r="B2" s="1" t="s">
        <v>3</v>
      </c>
      <c r="C2" s="1">
        <f>C4+C6+C8</f>
        <v>4606</v>
      </c>
      <c r="D2" s="1">
        <f>D4+D6+D8</f>
        <v>845</v>
      </c>
      <c r="E2" s="1">
        <f t="shared" ref="E2:J2" si="39">E4+E6+E8</f>
        <v>2484</v>
      </c>
      <c r="F2" s="1">
        <f t="shared" si="39"/>
        <v>444</v>
      </c>
      <c r="G2" s="1">
        <f t="shared" si="39"/>
        <v>9124.5</v>
      </c>
      <c r="H2" s="1">
        <f t="shared" si="39"/>
        <v>1260</v>
      </c>
      <c r="I2" s="1">
        <f t="shared" si="39"/>
        <v>1247</v>
      </c>
      <c r="J2" s="1">
        <f t="shared" si="39"/>
        <v>211</v>
      </c>
      <c r="K2" s="1">
        <f t="shared" ref="K2:AZ2" si="40">K4+K6+K8</f>
        <v>642</v>
      </c>
      <c r="L2" s="1">
        <f t="shared" si="40"/>
        <v>109</v>
      </c>
      <c r="M2" s="1">
        <f t="shared" si="40"/>
        <v>4338</v>
      </c>
      <c r="N2" s="1">
        <f t="shared" si="40"/>
        <v>804</v>
      </c>
      <c r="O2" s="1">
        <f t="shared" si="40"/>
        <v>667</v>
      </c>
      <c r="P2" s="1">
        <f t="shared" si="40"/>
        <v>100</v>
      </c>
      <c r="Q2" s="1">
        <f t="shared" si="40"/>
        <v>2600</v>
      </c>
      <c r="R2" s="1">
        <f t="shared" si="40"/>
        <v>411</v>
      </c>
      <c r="S2" s="1">
        <f t="shared" si="40"/>
        <v>2120</v>
      </c>
      <c r="T2" s="1">
        <f t="shared" si="40"/>
        <v>357</v>
      </c>
      <c r="U2" s="1">
        <f t="shared" si="40"/>
        <v>614</v>
      </c>
      <c r="V2" s="1">
        <f t="shared" si="40"/>
        <v>190</v>
      </c>
      <c r="W2" s="1">
        <f t="shared" si="40"/>
        <v>321</v>
      </c>
      <c r="X2" s="1">
        <f t="shared" si="40"/>
        <v>101</v>
      </c>
      <c r="Y2" s="1">
        <f t="shared" si="40"/>
        <v>154</v>
      </c>
      <c r="Z2" s="1">
        <f t="shared" si="40"/>
        <v>32</v>
      </c>
      <c r="AA2" s="1">
        <f t="shared" si="40"/>
        <v>1672.5</v>
      </c>
      <c r="AB2" s="1">
        <f t="shared" si="40"/>
        <v>345</v>
      </c>
      <c r="AC2" s="1">
        <f t="shared" si="40"/>
        <v>1867</v>
      </c>
      <c r="AD2" s="1">
        <f t="shared" si="40"/>
        <v>342</v>
      </c>
      <c r="AE2" s="1">
        <f t="shared" si="40"/>
        <v>27</v>
      </c>
      <c r="AF2" s="1">
        <f t="shared" si="40"/>
        <v>5</v>
      </c>
      <c r="AG2" s="1">
        <f t="shared" si="40"/>
        <v>176</v>
      </c>
      <c r="AH2" s="1">
        <f t="shared" si="40"/>
        <v>29</v>
      </c>
      <c r="AI2" s="1">
        <f t="shared" si="40"/>
        <v>215</v>
      </c>
      <c r="AJ2" s="1">
        <f t="shared" si="40"/>
        <v>59</v>
      </c>
      <c r="AK2" s="1">
        <f t="shared" si="40"/>
        <v>121</v>
      </c>
      <c r="AL2" s="1">
        <f t="shared" si="40"/>
        <v>17</v>
      </c>
      <c r="AM2" s="1">
        <f t="shared" si="40"/>
        <v>514</v>
      </c>
      <c r="AN2" s="1">
        <f t="shared" si="40"/>
        <v>99</v>
      </c>
      <c r="AO2" s="1">
        <f t="shared" si="40"/>
        <v>-1</v>
      </c>
      <c r="AP2" s="1">
        <f t="shared" si="40"/>
        <v>12</v>
      </c>
      <c r="AQ2" s="1">
        <f t="shared" si="40"/>
        <v>381</v>
      </c>
      <c r="AR2" s="1">
        <f t="shared" si="40"/>
        <v>93</v>
      </c>
      <c r="AS2" s="1">
        <f t="shared" si="40"/>
        <v>8</v>
      </c>
      <c r="AT2" s="1">
        <f t="shared" si="40"/>
        <v>11</v>
      </c>
      <c r="AU2" s="1">
        <f t="shared" si="40"/>
        <v>34</v>
      </c>
      <c r="AV2" s="1">
        <f t="shared" si="40"/>
        <v>4</v>
      </c>
      <c r="AW2" s="1">
        <f t="shared" si="40"/>
        <v>14</v>
      </c>
      <c r="AX2" s="1">
        <f t="shared" si="40"/>
        <v>5</v>
      </c>
      <c r="AY2" s="1">
        <f t="shared" si="40"/>
        <v>126</v>
      </c>
      <c r="AZ2" s="1">
        <f t="shared" si="40"/>
        <v>28</v>
      </c>
      <c r="BA2" s="1">
        <f t="shared" ref="BA2:BD2" si="41">BA4+BA6+BA8</f>
        <v>34</v>
      </c>
      <c r="BB2" s="1">
        <f t="shared" si="41"/>
        <v>2</v>
      </c>
      <c r="BC2" s="1">
        <f t="shared" si="41"/>
        <v>121</v>
      </c>
      <c r="BD2" s="1">
        <f t="shared" si="41"/>
        <v>27</v>
      </c>
      <c r="BE2" s="1">
        <f t="shared" ref="BE2:BF2" si="42">BE4+BE6+BE8</f>
        <v>865</v>
      </c>
      <c r="BF2" s="1">
        <f t="shared" si="42"/>
        <v>188</v>
      </c>
      <c r="BG2" s="1">
        <f t="shared" ref="BG2:BL2" si="43">BG4+BG6+BG8</f>
        <v>209</v>
      </c>
      <c r="BH2" s="1">
        <f t="shared" si="43"/>
        <v>40</v>
      </c>
      <c r="BI2" s="1">
        <f t="shared" si="43"/>
        <v>406</v>
      </c>
      <c r="BJ2" s="1">
        <f t="shared" si="43"/>
        <v>76</v>
      </c>
      <c r="BK2" s="1">
        <f t="shared" si="43"/>
        <v>121</v>
      </c>
      <c r="BL2" s="1">
        <f t="shared" si="43"/>
        <v>22</v>
      </c>
      <c r="BM2" s="1">
        <f t="shared" ref="BM2:BV2" si="44">BM4+BM6+BM8</f>
        <v>53</v>
      </c>
      <c r="BN2" s="1">
        <f t="shared" si="44"/>
        <v>5</v>
      </c>
      <c r="BO2" s="1">
        <f t="shared" si="44"/>
        <v>33</v>
      </c>
      <c r="BP2" s="1">
        <f t="shared" si="44"/>
        <v>4</v>
      </c>
      <c r="BQ2" s="1">
        <f t="shared" si="44"/>
        <v>135</v>
      </c>
      <c r="BR2" s="1">
        <f t="shared" si="44"/>
        <v>20</v>
      </c>
      <c r="BS2" s="1">
        <f t="shared" si="44"/>
        <v>108</v>
      </c>
      <c r="BT2" s="1">
        <f t="shared" si="44"/>
        <v>20</v>
      </c>
      <c r="BU2" s="1">
        <f t="shared" si="44"/>
        <v>94</v>
      </c>
      <c r="BV2" s="1">
        <f t="shared" si="44"/>
        <v>28</v>
      </c>
      <c r="BW2" s="1">
        <f t="shared" ref="BW2:CD2" si="45">BW4+BW6+BW8</f>
        <v>59</v>
      </c>
      <c r="BX2" s="1">
        <f t="shared" si="45"/>
        <v>8</v>
      </c>
      <c r="BY2" s="1">
        <f t="shared" si="45"/>
        <v>22</v>
      </c>
      <c r="BZ2" s="1">
        <f t="shared" si="45"/>
        <v>8</v>
      </c>
      <c r="CA2" s="1">
        <f t="shared" si="45"/>
        <v>72</v>
      </c>
      <c r="CB2" s="1">
        <f t="shared" si="45"/>
        <v>8</v>
      </c>
      <c r="CC2" s="1">
        <f t="shared" si="45"/>
        <v>0</v>
      </c>
      <c r="CD2" s="1">
        <f t="shared" si="45"/>
        <v>0</v>
      </c>
    </row>
    <row r="3" spans="1:87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46">E4/F4</f>
        <v>3.3414634146341462</v>
      </c>
      <c r="F3" s="1" t="s">
        <v>2</v>
      </c>
      <c r="G3" s="1">
        <f t="shared" ref="G3" si="47">G4/H4</f>
        <v>7.2666666666666666</v>
      </c>
      <c r="H3" s="1" t="s">
        <v>2</v>
      </c>
      <c r="I3" s="1">
        <f t="shared" ref="I3" si="48">I4/J4</f>
        <v>7.78125</v>
      </c>
      <c r="J3" s="1" t="s">
        <v>2</v>
      </c>
      <c r="K3" s="1">
        <f t="shared" ref="K3" si="49">K4/L4</f>
        <v>5.5</v>
      </c>
      <c r="L3" s="1" t="s">
        <v>2</v>
      </c>
      <c r="M3" s="1">
        <f t="shared" ref="M3" si="50">M4/N4</f>
        <v>5.9268292682926829</v>
      </c>
      <c r="N3" s="1" t="s">
        <v>2</v>
      </c>
      <c r="O3" s="1">
        <f t="shared" ref="O3" si="51">O4/P4</f>
        <v>6</v>
      </c>
      <c r="P3" s="1" t="s">
        <v>2</v>
      </c>
      <c r="Q3" s="1" t="e">
        <f t="shared" ref="Q3" si="52">Q4/R4</f>
        <v>#DIV/0!</v>
      </c>
      <c r="R3" s="1" t="s">
        <v>2</v>
      </c>
      <c r="S3" s="1" t="e">
        <f t="shared" ref="S3" si="53">S4/T4</f>
        <v>#DIV/0!</v>
      </c>
      <c r="T3" s="1" t="s">
        <v>2</v>
      </c>
      <c r="U3" s="1">
        <f t="shared" ref="U3" si="54">U4/V4</f>
        <v>5.8181818181818183</v>
      </c>
      <c r="V3" s="1" t="s">
        <v>2</v>
      </c>
      <c r="W3" s="1">
        <f t="shared" ref="W3" si="55">W4/X4</f>
        <v>6.1111111111111107</v>
      </c>
      <c r="X3" s="1" t="s">
        <v>2</v>
      </c>
      <c r="Y3" s="1">
        <f t="shared" ref="Y3" si="56">Y4/Z4</f>
        <v>4.8125</v>
      </c>
      <c r="Z3" s="1" t="s">
        <v>2</v>
      </c>
      <c r="AA3" s="1">
        <f t="shared" ref="AA3" si="57">AA4/AB4</f>
        <v>4.2380952380952381</v>
      </c>
      <c r="AB3" s="1" t="s">
        <v>2</v>
      </c>
      <c r="AC3" s="1" t="e">
        <f t="shared" ref="AC3" si="58">AC4/AD4</f>
        <v>#DIV/0!</v>
      </c>
      <c r="AD3" s="1" t="s">
        <v>2</v>
      </c>
      <c r="AE3" s="1" t="e">
        <f t="shared" ref="AE3" si="59">AE4/AF4</f>
        <v>#DIV/0!</v>
      </c>
      <c r="AF3" s="1" t="s">
        <v>2</v>
      </c>
      <c r="AG3" s="1" t="e">
        <f t="shared" ref="AG3" si="60">AG4/AH4</f>
        <v>#DIV/0!</v>
      </c>
      <c r="AH3" s="1" t="s">
        <v>2</v>
      </c>
      <c r="AI3" s="1" t="e">
        <f t="shared" ref="AI3" si="61">AI4/AJ4</f>
        <v>#DIV/0!</v>
      </c>
      <c r="AJ3" s="1" t="s">
        <v>2</v>
      </c>
      <c r="AK3" s="1" t="e">
        <f t="shared" ref="AK3" si="62">AK4/AL4</f>
        <v>#DIV/0!</v>
      </c>
      <c r="AL3" s="1" t="s">
        <v>2</v>
      </c>
      <c r="AM3" s="1" t="e">
        <f t="shared" ref="AM3" si="63">AM4/AN4</f>
        <v>#DIV/0!</v>
      </c>
      <c r="AN3" s="1" t="s">
        <v>2</v>
      </c>
      <c r="AO3" s="1" t="e">
        <f t="shared" ref="AO3" si="64">AO4/AP4</f>
        <v>#DIV/0!</v>
      </c>
      <c r="AP3" s="1" t="s">
        <v>2</v>
      </c>
      <c r="AQ3" s="1" t="e">
        <f t="shared" ref="AQ3" si="65">AQ4/AR4</f>
        <v>#DIV/0!</v>
      </c>
      <c r="AR3" s="1" t="s">
        <v>2</v>
      </c>
      <c r="AS3" s="1" t="e">
        <f t="shared" ref="AS3" si="66">AS4/AT4</f>
        <v>#DIV/0!</v>
      </c>
      <c r="AT3" s="1" t="s">
        <v>2</v>
      </c>
      <c r="AU3" s="1" t="e">
        <f t="shared" ref="AU3" si="67">AU4/AV4</f>
        <v>#DIV/0!</v>
      </c>
      <c r="AV3" s="1" t="s">
        <v>2</v>
      </c>
      <c r="AW3" s="1" t="e">
        <f t="shared" ref="AW3" si="68">AW4/AX4</f>
        <v>#DIV/0!</v>
      </c>
      <c r="AX3" s="1" t="s">
        <v>2</v>
      </c>
      <c r="AY3" s="1" t="e">
        <f t="shared" ref="AY3" si="69">AY4/AZ4</f>
        <v>#DIV/0!</v>
      </c>
      <c r="AZ3" s="1" t="s">
        <v>2</v>
      </c>
      <c r="BA3" s="1" t="e">
        <f t="shared" ref="BA3" si="70">BA4/BB4</f>
        <v>#DIV/0!</v>
      </c>
      <c r="BB3" s="1" t="s">
        <v>2</v>
      </c>
      <c r="BC3" s="1" t="e">
        <f t="shared" ref="BC3" si="71">BC4/BD4</f>
        <v>#DIV/0!</v>
      </c>
      <c r="BD3" s="1" t="s">
        <v>2</v>
      </c>
      <c r="BE3" s="1" t="e">
        <f t="shared" ref="BE3" si="72">BE4/BF4</f>
        <v>#DIV/0!</v>
      </c>
      <c r="BF3" s="1" t="s">
        <v>2</v>
      </c>
      <c r="BG3" s="1" t="e">
        <f t="shared" ref="BG3" si="73">BG4/BH4</f>
        <v>#DIV/0!</v>
      </c>
      <c r="BH3" s="1" t="s">
        <v>2</v>
      </c>
      <c r="BI3" s="1" t="e">
        <f t="shared" ref="BI3" si="74">BI4/BJ4</f>
        <v>#DIV/0!</v>
      </c>
      <c r="BJ3" s="1" t="s">
        <v>2</v>
      </c>
      <c r="BK3" s="1" t="e">
        <f t="shared" ref="BK3" si="75">BK4/BL4</f>
        <v>#DIV/0!</v>
      </c>
      <c r="BL3" s="1" t="s">
        <v>2</v>
      </c>
      <c r="BM3" s="1" t="e">
        <f t="shared" ref="BM3" si="76">BM4/BN4</f>
        <v>#DIV/0!</v>
      </c>
      <c r="BN3" s="1" t="s">
        <v>2</v>
      </c>
      <c r="BO3" s="1" t="e">
        <f t="shared" ref="BO3" si="77">BO4/BP4</f>
        <v>#DIV/0!</v>
      </c>
      <c r="BP3" s="1" t="s">
        <v>2</v>
      </c>
      <c r="BQ3" s="1" t="e">
        <f t="shared" ref="BQ3" si="78">BQ4/BR4</f>
        <v>#DIV/0!</v>
      </c>
      <c r="BR3" s="1" t="s">
        <v>2</v>
      </c>
      <c r="BS3" s="1" t="e">
        <f t="shared" ref="BS3" si="79">BS4/BT4</f>
        <v>#DIV/0!</v>
      </c>
      <c r="BT3" s="1" t="s">
        <v>2</v>
      </c>
      <c r="BU3" s="1" t="e">
        <f t="shared" ref="BU3" si="80">BU4/BV4</f>
        <v>#DIV/0!</v>
      </c>
      <c r="BV3" s="1" t="s">
        <v>2</v>
      </c>
      <c r="BW3" s="1" t="e">
        <f t="shared" ref="BW3" si="81">BW4/BX4</f>
        <v>#DIV/0!</v>
      </c>
      <c r="BX3" s="1" t="s">
        <v>2</v>
      </c>
      <c r="BY3" s="1" t="e">
        <f t="shared" ref="BY3" si="82">BY4/BZ4</f>
        <v>#DIV/0!</v>
      </c>
      <c r="BZ3" s="1" t="s">
        <v>2</v>
      </c>
      <c r="CA3" s="1" t="e">
        <f t="shared" ref="CA3" si="83">CA4/CB4</f>
        <v>#DIV/0!</v>
      </c>
      <c r="CB3" s="1" t="s">
        <v>2</v>
      </c>
      <c r="CC3" s="1" t="e">
        <f t="shared" ref="CC3" si="84">CC4/CD4</f>
        <v>#DIV/0!</v>
      </c>
      <c r="CD3" s="1" t="s">
        <v>2</v>
      </c>
      <c r="CG3" s="1" t="s">
        <v>49</v>
      </c>
      <c r="CI3" s="1" t="s">
        <v>28</v>
      </c>
    </row>
    <row r="4" spans="1:87" x14ac:dyDescent="0.3">
      <c r="B4" s="1" t="s">
        <v>3</v>
      </c>
      <c r="C4" s="1">
        <f>SUM(C188:C199)</f>
        <v>620</v>
      </c>
      <c r="D4" s="1">
        <f>SUM(D188:D199)</f>
        <v>135</v>
      </c>
      <c r="E4" s="1">
        <f t="shared" ref="E4:J4" si="85">SUM(E188:E199)</f>
        <v>274</v>
      </c>
      <c r="F4" s="1">
        <f t="shared" si="85"/>
        <v>82</v>
      </c>
      <c r="G4" s="1">
        <f t="shared" si="85"/>
        <v>981</v>
      </c>
      <c r="H4" s="1">
        <f t="shared" si="85"/>
        <v>135</v>
      </c>
      <c r="I4" s="1">
        <f t="shared" si="85"/>
        <v>498</v>
      </c>
      <c r="J4" s="1">
        <f t="shared" si="85"/>
        <v>64</v>
      </c>
      <c r="K4" s="1">
        <f t="shared" ref="K4:AZ4" si="86">SUM(K188:K199)</f>
        <v>44</v>
      </c>
      <c r="L4" s="1">
        <f t="shared" si="86"/>
        <v>8</v>
      </c>
      <c r="M4" s="1">
        <f t="shared" si="86"/>
        <v>243</v>
      </c>
      <c r="N4" s="1">
        <f t="shared" si="86"/>
        <v>41</v>
      </c>
      <c r="O4" s="1">
        <f t="shared" si="86"/>
        <v>12</v>
      </c>
      <c r="P4" s="1">
        <f t="shared" si="86"/>
        <v>2</v>
      </c>
      <c r="Q4" s="1">
        <f t="shared" si="86"/>
        <v>0</v>
      </c>
      <c r="R4" s="1">
        <f t="shared" si="86"/>
        <v>0</v>
      </c>
      <c r="S4" s="1">
        <f t="shared" si="86"/>
        <v>0</v>
      </c>
      <c r="T4" s="1">
        <f t="shared" si="86"/>
        <v>0</v>
      </c>
      <c r="U4" s="1">
        <f t="shared" si="86"/>
        <v>64</v>
      </c>
      <c r="V4" s="1">
        <f t="shared" si="86"/>
        <v>11</v>
      </c>
      <c r="W4" s="1">
        <f t="shared" si="86"/>
        <v>55</v>
      </c>
      <c r="X4" s="1">
        <f t="shared" si="86"/>
        <v>9</v>
      </c>
      <c r="Y4" s="1">
        <f t="shared" si="86"/>
        <v>154</v>
      </c>
      <c r="Z4" s="1">
        <f t="shared" si="86"/>
        <v>32</v>
      </c>
      <c r="AA4" s="1">
        <f t="shared" si="86"/>
        <v>89</v>
      </c>
      <c r="AB4" s="1">
        <f t="shared" si="86"/>
        <v>21</v>
      </c>
      <c r="AC4" s="1">
        <f t="shared" si="86"/>
        <v>0</v>
      </c>
      <c r="AD4" s="1">
        <f t="shared" si="86"/>
        <v>0</v>
      </c>
      <c r="AE4" s="1">
        <f t="shared" si="86"/>
        <v>0</v>
      </c>
      <c r="AF4" s="1">
        <f t="shared" si="86"/>
        <v>0</v>
      </c>
      <c r="AG4" s="1">
        <f t="shared" si="86"/>
        <v>0</v>
      </c>
      <c r="AH4" s="1">
        <f t="shared" si="86"/>
        <v>0</v>
      </c>
      <c r="AI4" s="1">
        <f t="shared" si="86"/>
        <v>0</v>
      </c>
      <c r="AJ4" s="1">
        <f t="shared" si="86"/>
        <v>0</v>
      </c>
      <c r="AK4" s="1">
        <f t="shared" si="86"/>
        <v>0</v>
      </c>
      <c r="AL4" s="1">
        <f t="shared" si="86"/>
        <v>0</v>
      </c>
      <c r="AM4" s="1">
        <f t="shared" si="86"/>
        <v>0</v>
      </c>
      <c r="AN4" s="1">
        <f t="shared" si="86"/>
        <v>0</v>
      </c>
      <c r="AO4" s="1">
        <f t="shared" si="86"/>
        <v>0</v>
      </c>
      <c r="AP4" s="1">
        <f t="shared" si="86"/>
        <v>0</v>
      </c>
      <c r="AQ4" s="1">
        <f t="shared" si="86"/>
        <v>0</v>
      </c>
      <c r="AR4" s="1">
        <f t="shared" si="86"/>
        <v>0</v>
      </c>
      <c r="AS4" s="1">
        <f t="shared" si="86"/>
        <v>0</v>
      </c>
      <c r="AT4" s="1">
        <f t="shared" si="86"/>
        <v>0</v>
      </c>
      <c r="AU4" s="1">
        <f t="shared" si="86"/>
        <v>0</v>
      </c>
      <c r="AV4" s="1">
        <f t="shared" si="86"/>
        <v>0</v>
      </c>
      <c r="AW4" s="1">
        <f t="shared" si="86"/>
        <v>0</v>
      </c>
      <c r="AX4" s="1">
        <f t="shared" si="86"/>
        <v>0</v>
      </c>
      <c r="AY4" s="1">
        <f t="shared" si="86"/>
        <v>0</v>
      </c>
      <c r="AZ4" s="1">
        <f t="shared" si="86"/>
        <v>0</v>
      </c>
      <c r="BA4" s="1">
        <f t="shared" ref="BA4:BD4" si="87">SUM(BA188:BA199)</f>
        <v>0</v>
      </c>
      <c r="BB4" s="1">
        <f t="shared" si="87"/>
        <v>0</v>
      </c>
      <c r="BC4" s="1">
        <f t="shared" si="87"/>
        <v>0</v>
      </c>
      <c r="BD4" s="1">
        <f t="shared" si="87"/>
        <v>0</v>
      </c>
      <c r="BE4" s="1">
        <f t="shared" ref="BE4:BF4" si="88">SUM(BE188:BE199)</f>
        <v>0</v>
      </c>
      <c r="BF4" s="1">
        <f t="shared" si="88"/>
        <v>0</v>
      </c>
      <c r="BG4" s="1">
        <f t="shared" ref="BG4:BL4" si="89">SUM(BG188:BG199)</f>
        <v>0</v>
      </c>
      <c r="BH4" s="1">
        <f t="shared" si="89"/>
        <v>0</v>
      </c>
      <c r="BI4" s="1">
        <f t="shared" si="89"/>
        <v>0</v>
      </c>
      <c r="BJ4" s="1">
        <f t="shared" si="89"/>
        <v>0</v>
      </c>
      <c r="BK4" s="1">
        <f t="shared" si="89"/>
        <v>0</v>
      </c>
      <c r="BL4" s="1">
        <f t="shared" si="89"/>
        <v>0</v>
      </c>
      <c r="BM4" s="1">
        <f t="shared" ref="BM4:BV4" si="90">SUM(BM188:BM199)</f>
        <v>0</v>
      </c>
      <c r="BN4" s="1">
        <f t="shared" si="90"/>
        <v>0</v>
      </c>
      <c r="BO4" s="1">
        <f t="shared" si="90"/>
        <v>0</v>
      </c>
      <c r="BP4" s="1">
        <f t="shared" si="90"/>
        <v>0</v>
      </c>
      <c r="BQ4" s="1">
        <f t="shared" si="90"/>
        <v>0</v>
      </c>
      <c r="BR4" s="1">
        <f t="shared" si="90"/>
        <v>0</v>
      </c>
      <c r="BS4" s="1">
        <f t="shared" si="90"/>
        <v>0</v>
      </c>
      <c r="BT4" s="1">
        <f t="shared" si="90"/>
        <v>0</v>
      </c>
      <c r="BU4" s="1">
        <f t="shared" si="90"/>
        <v>0</v>
      </c>
      <c r="BV4" s="1">
        <f t="shared" si="90"/>
        <v>0</v>
      </c>
      <c r="BW4" s="1">
        <f t="shared" ref="BW4:CD4" si="91">SUM(BW188:BW199)</f>
        <v>0</v>
      </c>
      <c r="BX4" s="1">
        <f t="shared" si="91"/>
        <v>0</v>
      </c>
      <c r="BY4" s="1">
        <f t="shared" si="91"/>
        <v>0</v>
      </c>
      <c r="BZ4" s="1">
        <f t="shared" si="91"/>
        <v>0</v>
      </c>
      <c r="CA4" s="1">
        <f t="shared" si="91"/>
        <v>0</v>
      </c>
      <c r="CB4" s="1">
        <f t="shared" si="91"/>
        <v>0</v>
      </c>
      <c r="CC4" s="1">
        <f t="shared" si="91"/>
        <v>0</v>
      </c>
      <c r="CD4" s="1">
        <f t="shared" si="91"/>
        <v>0</v>
      </c>
      <c r="CH4" s="1" t="b">
        <f>NOT(OR("/",AVERAGE($C$1:$AL$1)&gt;AC$1,SMALL($C$1:$AL$1,1)=AC$1,SMALL($C$1:$AL$1,2)=AC$1,SMALL($C$1:$AL$1,3)=AC$1,LARGE($C$1:$AL$1,1)=AC$1,LARGE($C$1:$AL$1,2)=AC$1,LARGE($C$1:$AL$1,3)=AC$1))</f>
        <v>1</v>
      </c>
      <c r="CI4" s="1" t="e">
        <f>$C$10:$C$199,$E$10:$E$199,$G$10:$G$199,$I$10:$I$199,$K$10:$K$199,$M$10:$M$199,$O$10:$O$199,$Q$10:$Q$199,$S$10:$S$199,$U$10:$U$199,$W$10:$W$199,$Y$10:$Y$199,$AA$10:$AA$199,$AC$10:$AC$199,$AE$10:$AE$199,$AG$10:$AG$199,$AI$10:$AI$199,$AK$10:$AK$199,$AM$10:$AM$199,$AO$10:$AO$199,$AQ$10:$AQ$199,$AS$10:$AS$199,$AU$10:$AU$199,$AW$10:$AW$199,$AY$10:$AY$199,$BA$10:$BA$199,$BC$10:$BC$199,$BE$10:$BE$199</f>
        <v>#VALUE!</v>
      </c>
    </row>
    <row r="5" spans="1:87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92">E6/F6</f>
        <v>6.131455399061033</v>
      </c>
      <c r="F5" s="1" t="s">
        <v>2</v>
      </c>
      <c r="G5" s="1">
        <f t="shared" ref="G5" si="93">G6/H6</f>
        <v>6.8512820512820509</v>
      </c>
      <c r="H5" s="1" t="s">
        <v>2</v>
      </c>
      <c r="I5" s="1">
        <f t="shared" ref="I5" si="94">I6/J6</f>
        <v>6.5287356321839081</v>
      </c>
      <c r="J5" s="1" t="s">
        <v>2</v>
      </c>
      <c r="K5" s="1">
        <f t="shared" ref="K5" si="95">K6/L6</f>
        <v>6.6756756756756754</v>
      </c>
      <c r="L5" s="1" t="s">
        <v>2</v>
      </c>
      <c r="M5" s="1">
        <f t="shared" ref="M5" si="96">M6/N6</f>
        <v>3.8979591836734695</v>
      </c>
      <c r="N5" s="1" t="s">
        <v>2</v>
      </c>
      <c r="O5" s="1">
        <f t="shared" ref="O5" si="97">O6/P6</f>
        <v>5.85</v>
      </c>
      <c r="P5" s="1" t="s">
        <v>2</v>
      </c>
      <c r="Q5" s="1">
        <f t="shared" ref="Q5" si="98">Q6/R6</f>
        <v>5.8133333333333335</v>
      </c>
      <c r="R5" s="1" t="s">
        <v>2</v>
      </c>
      <c r="S5" s="1">
        <f t="shared" ref="S5" si="99">S6/T6</f>
        <v>7.1037735849056602</v>
      </c>
      <c r="T5" s="1" t="s">
        <v>2</v>
      </c>
      <c r="U5" s="1">
        <f t="shared" ref="U5" si="100">U6/V6</f>
        <v>2.096774193548387</v>
      </c>
      <c r="V5" s="1" t="s">
        <v>2</v>
      </c>
      <c r="W5" s="1">
        <f t="shared" ref="W5" si="101">W6/X6</f>
        <v>1.8214285714285714</v>
      </c>
      <c r="X5" s="1" t="s">
        <v>2</v>
      </c>
      <c r="Y5" s="1" t="e">
        <f t="shared" ref="Y5" si="102">Y6/Z6</f>
        <v>#DIV/0!</v>
      </c>
      <c r="Z5" s="1" t="s">
        <v>2</v>
      </c>
      <c r="AA5" s="1">
        <f t="shared" ref="AA5" si="103">AA6/AB6</f>
        <v>2.0249999999999999</v>
      </c>
      <c r="AB5" s="1" t="s">
        <v>2</v>
      </c>
      <c r="AC5" s="1">
        <f t="shared" ref="AC5" si="104">AC6/AD6</f>
        <v>1.6</v>
      </c>
      <c r="AD5" s="1" t="s">
        <v>2</v>
      </c>
      <c r="AE5" s="1">
        <f t="shared" ref="AE5" si="105">AE6/AF6</f>
        <v>9</v>
      </c>
      <c r="AF5" s="1" t="s">
        <v>2</v>
      </c>
      <c r="AG5" s="1">
        <f t="shared" ref="AG5" si="106">AG6/AH6</f>
        <v>6.068965517241379</v>
      </c>
      <c r="AH5" s="1" t="s">
        <v>2</v>
      </c>
      <c r="AI5" s="1" t="e">
        <f t="shared" ref="AI5" si="107">AI6/AJ6</f>
        <v>#DIV/0!</v>
      </c>
      <c r="AJ5" s="1" t="s">
        <v>2</v>
      </c>
      <c r="AK5" s="1">
        <f t="shared" ref="AK5" si="108">AK6/AL6</f>
        <v>7.117647058823529</v>
      </c>
      <c r="AL5" s="1" t="s">
        <v>2</v>
      </c>
      <c r="AM5" s="1" t="e">
        <f t="shared" ref="AM5" si="109">AM6/AN6</f>
        <v>#DIV/0!</v>
      </c>
      <c r="AN5" s="1" t="s">
        <v>2</v>
      </c>
      <c r="AO5" s="1" t="e">
        <f t="shared" ref="AO5" si="110">AO6/AP6</f>
        <v>#DIV/0!</v>
      </c>
      <c r="AP5" s="1" t="s">
        <v>2</v>
      </c>
      <c r="AQ5" s="1">
        <f t="shared" ref="AQ5" si="111">AQ6/AR6</f>
        <v>3.75</v>
      </c>
      <c r="AR5" s="1" t="s">
        <v>2</v>
      </c>
      <c r="AS5" s="1" t="e">
        <f t="shared" ref="AS5" si="112">AS6/AT6</f>
        <v>#DIV/0!</v>
      </c>
      <c r="AT5" s="1" t="s">
        <v>2</v>
      </c>
      <c r="AU5" s="1" t="e">
        <f t="shared" ref="AU5" si="113">AU6/AV6</f>
        <v>#DIV/0!</v>
      </c>
      <c r="AV5" s="1" t="s">
        <v>2</v>
      </c>
      <c r="AW5" s="1" t="e">
        <f t="shared" ref="AW5" si="114">AW6/AX6</f>
        <v>#DIV/0!</v>
      </c>
      <c r="AX5" s="1" t="s">
        <v>2</v>
      </c>
      <c r="AY5" s="1">
        <f t="shared" ref="AY5" si="115">AY6/AZ6</f>
        <v>2.75</v>
      </c>
      <c r="AZ5" s="1" t="s">
        <v>2</v>
      </c>
      <c r="BA5" s="1" t="e">
        <f t="shared" ref="BA5" si="116">BA6/BB6</f>
        <v>#DIV/0!</v>
      </c>
      <c r="BB5" s="1" t="s">
        <v>2</v>
      </c>
      <c r="BC5" s="1" t="e">
        <f t="shared" ref="BC5" si="117">BC6/BD6</f>
        <v>#DIV/0!</v>
      </c>
      <c r="BD5" s="1" t="s">
        <v>2</v>
      </c>
      <c r="BE5" s="1" t="e">
        <f t="shared" ref="BE5" si="118">BE6/BF6</f>
        <v>#DIV/0!</v>
      </c>
      <c r="BF5" s="1" t="s">
        <v>2</v>
      </c>
      <c r="BG5" s="1" t="e">
        <f t="shared" ref="BG5" si="119">BG6/BH6</f>
        <v>#DIV/0!</v>
      </c>
      <c r="BH5" s="1" t="s">
        <v>2</v>
      </c>
      <c r="BI5" s="1" t="e">
        <f t="shared" ref="BI5" si="120">BI6/BJ6</f>
        <v>#DIV/0!</v>
      </c>
      <c r="BJ5" s="1" t="s">
        <v>2</v>
      </c>
      <c r="BK5" s="1" t="e">
        <f t="shared" ref="BK5" si="121">BK6/BL6</f>
        <v>#DIV/0!</v>
      </c>
      <c r="BL5" s="1" t="s">
        <v>2</v>
      </c>
      <c r="BM5" s="1" t="e">
        <f t="shared" ref="BM5" si="122">BM6/BN6</f>
        <v>#DIV/0!</v>
      </c>
      <c r="BN5" s="1" t="s">
        <v>2</v>
      </c>
      <c r="BO5" s="1" t="e">
        <f t="shared" ref="BO5" si="123">BO6/BP6</f>
        <v>#DIV/0!</v>
      </c>
      <c r="BP5" s="1" t="s">
        <v>2</v>
      </c>
      <c r="BQ5" s="1" t="e">
        <f t="shared" ref="BQ5" si="124">BQ6/BR6</f>
        <v>#DIV/0!</v>
      </c>
      <c r="BR5" s="1" t="s">
        <v>2</v>
      </c>
      <c r="BS5" s="1" t="e">
        <f t="shared" ref="BS5" si="125">BS6/BT6</f>
        <v>#DIV/0!</v>
      </c>
      <c r="BT5" s="1" t="s">
        <v>2</v>
      </c>
      <c r="BU5" s="1" t="e">
        <f t="shared" ref="BU5" si="126">BU6/BV6</f>
        <v>#DIV/0!</v>
      </c>
      <c r="BV5" s="1" t="s">
        <v>2</v>
      </c>
      <c r="BW5" s="1" t="e">
        <f t="shared" ref="BW5" si="127">BW6/BX6</f>
        <v>#DIV/0!</v>
      </c>
      <c r="BX5" s="1" t="s">
        <v>2</v>
      </c>
      <c r="BY5" s="1" t="e">
        <f t="shared" ref="BY5" si="128">BY6/BZ6</f>
        <v>#DIV/0!</v>
      </c>
      <c r="BZ5" s="1" t="s">
        <v>2</v>
      </c>
      <c r="CA5" s="1" t="e">
        <f t="shared" ref="CA5" si="129">CA6/CB6</f>
        <v>#DIV/0!</v>
      </c>
      <c r="CB5" s="1" t="s">
        <v>2</v>
      </c>
      <c r="CC5" s="1" t="e">
        <f t="shared" ref="CC5" si="130">CC6/CD6</f>
        <v>#DIV/0!</v>
      </c>
      <c r="CD5" s="1" t="s">
        <v>2</v>
      </c>
      <c r="CI5" s="1" t="e">
        <f>$D$10:$D$199,$F$10:$F$199,$H$10:$H$199,$J$10:$J$199,$L$10:$L$199,$N$10:$N$199,$P$10:$P$199,$R$10:$R$199,$T$10:$T$199,$V$10:$V$199,$X$10:$X$199,$Z$10:$Z$199,$AB$10:$AB$199,$AD$10:$AD$199,$AF$10:$AF$199,$AH$10:$AH$199,$AJ$10:$AJ$199,$AL$10:$AL$199,$AN$10:$AN$199,$AP$10:$AP$199,$AR$10:$AR$199,$AT$10:$AT$199,$AV$10:$AV$199,$AX$10:$AX$199,$AZ$10:$AZ$199,$BB$10:$BB$199,$BD$10:$BD$199,$BF$10:$BF$199</f>
        <v>#VALUE!</v>
      </c>
    </row>
    <row r="6" spans="1:87" x14ac:dyDescent="0.3">
      <c r="B6" s="1" t="s">
        <v>3</v>
      </c>
      <c r="C6" s="1">
        <f>SUM(C144:C186)</f>
        <v>1804</v>
      </c>
      <c r="D6" s="1">
        <f>SUM(D144:D186)</f>
        <v>370</v>
      </c>
      <c r="E6" s="1">
        <f t="shared" ref="E6:J6" si="131">SUM(E144:E186)</f>
        <v>1306</v>
      </c>
      <c r="F6" s="1">
        <f t="shared" si="131"/>
        <v>213</v>
      </c>
      <c r="G6" s="1">
        <f t="shared" si="131"/>
        <v>2672</v>
      </c>
      <c r="H6" s="1">
        <f t="shared" si="131"/>
        <v>390</v>
      </c>
      <c r="I6" s="1">
        <f t="shared" si="131"/>
        <v>568</v>
      </c>
      <c r="J6" s="1">
        <f t="shared" si="131"/>
        <v>87</v>
      </c>
      <c r="K6" s="1">
        <f t="shared" ref="K6:AZ6" si="132">SUM(K144:K186)</f>
        <v>494</v>
      </c>
      <c r="L6" s="1">
        <f t="shared" si="132"/>
        <v>74</v>
      </c>
      <c r="M6" s="1">
        <f t="shared" si="132"/>
        <v>573</v>
      </c>
      <c r="N6" s="1">
        <f t="shared" si="132"/>
        <v>147</v>
      </c>
      <c r="O6" s="1">
        <f t="shared" si="132"/>
        <v>117</v>
      </c>
      <c r="P6" s="1">
        <f t="shared" si="132"/>
        <v>20</v>
      </c>
      <c r="Q6" s="1">
        <f t="shared" si="132"/>
        <v>436</v>
      </c>
      <c r="R6" s="1">
        <f t="shared" si="132"/>
        <v>75</v>
      </c>
      <c r="S6" s="1">
        <f t="shared" si="132"/>
        <v>753</v>
      </c>
      <c r="T6" s="1">
        <f t="shared" si="132"/>
        <v>106</v>
      </c>
      <c r="U6" s="1">
        <f t="shared" si="132"/>
        <v>65</v>
      </c>
      <c r="V6" s="1">
        <f t="shared" si="132"/>
        <v>31</v>
      </c>
      <c r="W6" s="1">
        <f t="shared" si="132"/>
        <v>51</v>
      </c>
      <c r="X6" s="1">
        <f t="shared" si="132"/>
        <v>28</v>
      </c>
      <c r="Y6" s="1">
        <f t="shared" si="132"/>
        <v>0</v>
      </c>
      <c r="Z6" s="1">
        <f t="shared" si="132"/>
        <v>0</v>
      </c>
      <c r="AA6" s="1">
        <f t="shared" si="132"/>
        <v>81</v>
      </c>
      <c r="AB6" s="1">
        <f t="shared" si="132"/>
        <v>40</v>
      </c>
      <c r="AC6" s="1">
        <f t="shared" si="132"/>
        <v>16</v>
      </c>
      <c r="AD6" s="1">
        <f t="shared" si="132"/>
        <v>10</v>
      </c>
      <c r="AE6" s="1">
        <f t="shared" si="132"/>
        <v>27</v>
      </c>
      <c r="AF6" s="1">
        <f t="shared" si="132"/>
        <v>3</v>
      </c>
      <c r="AG6" s="1">
        <f t="shared" si="132"/>
        <v>176</v>
      </c>
      <c r="AH6" s="1">
        <f t="shared" si="132"/>
        <v>29</v>
      </c>
      <c r="AI6" s="1">
        <f t="shared" si="132"/>
        <v>0</v>
      </c>
      <c r="AJ6" s="1">
        <f t="shared" si="132"/>
        <v>0</v>
      </c>
      <c r="AK6" s="1">
        <f t="shared" si="132"/>
        <v>121</v>
      </c>
      <c r="AL6" s="1">
        <f t="shared" si="132"/>
        <v>17</v>
      </c>
      <c r="AM6" s="1">
        <f t="shared" si="132"/>
        <v>0</v>
      </c>
      <c r="AN6" s="1">
        <f t="shared" si="132"/>
        <v>0</v>
      </c>
      <c r="AO6" s="1">
        <f t="shared" si="132"/>
        <v>0</v>
      </c>
      <c r="AP6" s="1">
        <f t="shared" si="132"/>
        <v>0</v>
      </c>
      <c r="AQ6" s="1">
        <f t="shared" si="132"/>
        <v>60</v>
      </c>
      <c r="AR6" s="1">
        <f t="shared" si="132"/>
        <v>16</v>
      </c>
      <c r="AS6" s="1">
        <f t="shared" si="132"/>
        <v>0</v>
      </c>
      <c r="AT6" s="1">
        <f t="shared" si="132"/>
        <v>0</v>
      </c>
      <c r="AU6" s="1">
        <f t="shared" si="132"/>
        <v>0</v>
      </c>
      <c r="AV6" s="1">
        <f t="shared" si="132"/>
        <v>0</v>
      </c>
      <c r="AW6" s="1">
        <f t="shared" si="132"/>
        <v>0</v>
      </c>
      <c r="AX6" s="1">
        <f t="shared" si="132"/>
        <v>0</v>
      </c>
      <c r="AY6" s="1">
        <f t="shared" si="132"/>
        <v>22</v>
      </c>
      <c r="AZ6" s="1">
        <f t="shared" si="132"/>
        <v>8</v>
      </c>
      <c r="BA6" s="1">
        <f t="shared" ref="BA6:BD6" si="133">SUM(BA144:BA186)</f>
        <v>0</v>
      </c>
      <c r="BB6" s="1">
        <f t="shared" si="133"/>
        <v>0</v>
      </c>
      <c r="BC6" s="1">
        <f t="shared" si="133"/>
        <v>0</v>
      </c>
      <c r="BD6" s="1">
        <f t="shared" si="133"/>
        <v>0</v>
      </c>
      <c r="BE6" s="1">
        <f t="shared" ref="BE6:BF6" si="134">SUM(BE144:BE186)</f>
        <v>0</v>
      </c>
      <c r="BF6" s="1">
        <f t="shared" si="134"/>
        <v>0</v>
      </c>
      <c r="BG6" s="1">
        <f t="shared" ref="BG6:BL6" si="135">SUM(BG144:BG186)</f>
        <v>0</v>
      </c>
      <c r="BH6" s="1">
        <f t="shared" si="135"/>
        <v>0</v>
      </c>
      <c r="BI6" s="1">
        <f t="shared" si="135"/>
        <v>0</v>
      </c>
      <c r="BJ6" s="1">
        <f t="shared" si="135"/>
        <v>0</v>
      </c>
      <c r="BK6" s="1">
        <f t="shared" si="135"/>
        <v>0</v>
      </c>
      <c r="BL6" s="1">
        <f t="shared" si="135"/>
        <v>0</v>
      </c>
      <c r="BM6" s="1">
        <f t="shared" ref="BM6:BV6" si="136">SUM(BM144:BM186)</f>
        <v>0</v>
      </c>
      <c r="BN6" s="1">
        <f t="shared" si="136"/>
        <v>0</v>
      </c>
      <c r="BO6" s="1">
        <f t="shared" si="136"/>
        <v>0</v>
      </c>
      <c r="BP6" s="1">
        <f t="shared" si="136"/>
        <v>0</v>
      </c>
      <c r="BQ6" s="1">
        <f t="shared" si="136"/>
        <v>0</v>
      </c>
      <c r="BR6" s="1">
        <f t="shared" si="136"/>
        <v>0</v>
      </c>
      <c r="BS6" s="1">
        <f t="shared" si="136"/>
        <v>0</v>
      </c>
      <c r="BT6" s="1">
        <f t="shared" si="136"/>
        <v>0</v>
      </c>
      <c r="BU6" s="1">
        <f t="shared" si="136"/>
        <v>0</v>
      </c>
      <c r="BV6" s="1">
        <f t="shared" si="136"/>
        <v>0</v>
      </c>
      <c r="BW6" s="1">
        <f t="shared" ref="BW6:CD6" si="137">SUM(BW144:BW186)</f>
        <v>0</v>
      </c>
      <c r="BX6" s="1">
        <f t="shared" si="137"/>
        <v>0</v>
      </c>
      <c r="BY6" s="1">
        <f t="shared" si="137"/>
        <v>0</v>
      </c>
      <c r="BZ6" s="1">
        <f t="shared" si="137"/>
        <v>0</v>
      </c>
      <c r="CA6" s="1">
        <f t="shared" si="137"/>
        <v>0</v>
      </c>
      <c r="CB6" s="1">
        <f t="shared" si="137"/>
        <v>0</v>
      </c>
      <c r="CC6" s="1">
        <f t="shared" si="137"/>
        <v>0</v>
      </c>
      <c r="CD6" s="1">
        <f t="shared" si="137"/>
        <v>0</v>
      </c>
    </row>
    <row r="7" spans="1:87" x14ac:dyDescent="0.3">
      <c r="A7" s="15" t="s">
        <v>27</v>
      </c>
      <c r="B7" s="15" t="s">
        <v>1</v>
      </c>
      <c r="C7" s="15">
        <f>C8/D8</f>
        <v>6.4176470588235297</v>
      </c>
      <c r="D7" s="15" t="s">
        <v>2</v>
      </c>
      <c r="E7" s="15">
        <f t="shared" ref="E7" si="138">E8/F8</f>
        <v>6.0671140939597317</v>
      </c>
      <c r="F7" s="15" t="s">
        <v>2</v>
      </c>
      <c r="G7" s="15">
        <f t="shared" ref="G7" si="139">G8/H8</f>
        <v>7.44421768707483</v>
      </c>
      <c r="H7" s="15" t="s">
        <v>2</v>
      </c>
      <c r="I7" s="15">
        <f t="shared" ref="I7" si="140">I8/J8</f>
        <v>3.0166666666666666</v>
      </c>
      <c r="J7" s="15" t="s">
        <v>2</v>
      </c>
      <c r="K7" s="15">
        <f t="shared" ref="K7" si="141">K8/L8</f>
        <v>3.8518518518518516</v>
      </c>
      <c r="L7" s="15" t="s">
        <v>2</v>
      </c>
      <c r="M7" s="15">
        <f t="shared" ref="M7" si="142">M8/N8</f>
        <v>5.7175324675324672</v>
      </c>
      <c r="N7" s="15" t="s">
        <v>2</v>
      </c>
      <c r="O7" s="15">
        <f t="shared" ref="O7" si="143">O8/P8</f>
        <v>6.8974358974358978</v>
      </c>
      <c r="P7" s="15" t="s">
        <v>2</v>
      </c>
      <c r="Q7" s="15">
        <f t="shared" ref="Q7" si="144">Q8/R8</f>
        <v>6.4404761904761907</v>
      </c>
      <c r="R7" s="15" t="s">
        <v>2</v>
      </c>
      <c r="S7" s="15">
        <f t="shared" ref="S7" si="145">S8/T8</f>
        <v>5.4462151394422307</v>
      </c>
      <c r="T7" s="15" t="s">
        <v>2</v>
      </c>
      <c r="U7" s="15">
        <f t="shared" ref="U7" si="146">U8/V8</f>
        <v>3.2770270270270272</v>
      </c>
      <c r="V7" s="15" t="s">
        <v>2</v>
      </c>
      <c r="W7" s="15">
        <f t="shared" ref="W7" si="147">W8/X8</f>
        <v>3.359375</v>
      </c>
      <c r="X7" s="15" t="s">
        <v>2</v>
      </c>
      <c r="Y7" s="15" t="e">
        <f t="shared" ref="Y7" si="148">Y8/Z8</f>
        <v>#DIV/0!</v>
      </c>
      <c r="Z7" s="15" t="s">
        <v>2</v>
      </c>
      <c r="AA7" s="15">
        <f t="shared" ref="AA7" si="149">AA8/AB8</f>
        <v>5.290492957746479</v>
      </c>
      <c r="AB7" s="15" t="s">
        <v>2</v>
      </c>
      <c r="AC7" s="15">
        <f t="shared" ref="AC7" si="150">AC8/AD8</f>
        <v>5.5753012048192767</v>
      </c>
      <c r="AD7" s="15" t="s">
        <v>2</v>
      </c>
      <c r="AE7" s="15">
        <f t="shared" ref="AE7" si="151">AE8/AF8</f>
        <v>0</v>
      </c>
      <c r="AF7" s="15" t="s">
        <v>2</v>
      </c>
      <c r="AG7" s="15" t="e">
        <f t="shared" ref="AG7" si="152">AG8/AH8</f>
        <v>#DIV/0!</v>
      </c>
      <c r="AH7" s="15" t="s">
        <v>2</v>
      </c>
      <c r="AI7" s="15">
        <f t="shared" ref="AI7" si="153">AI8/AJ8</f>
        <v>3.6440677966101696</v>
      </c>
      <c r="AJ7" s="15" t="s">
        <v>2</v>
      </c>
      <c r="AK7" s="15" t="e">
        <f t="shared" ref="AK7" si="154">AK8/AL8</f>
        <v>#DIV/0!</v>
      </c>
      <c r="AL7" s="15" t="s">
        <v>2</v>
      </c>
      <c r="AM7" s="15">
        <f t="shared" ref="AM7" si="155">AM8/AN8</f>
        <v>5.191919191919192</v>
      </c>
      <c r="AN7" s="15" t="s">
        <v>2</v>
      </c>
      <c r="AO7" s="15">
        <f t="shared" ref="AO7" si="156">AO8/AP8</f>
        <v>-8.3333333333333329E-2</v>
      </c>
      <c r="AP7" s="15" t="s">
        <v>2</v>
      </c>
      <c r="AQ7" s="15">
        <f t="shared" ref="AQ7" si="157">AQ8/AR8</f>
        <v>4.1688311688311686</v>
      </c>
      <c r="AR7" s="15" t="s">
        <v>2</v>
      </c>
      <c r="AS7" s="15">
        <f t="shared" ref="AS7" si="158">AS8/AT8</f>
        <v>0.72727272727272729</v>
      </c>
      <c r="AT7" s="15" t="s">
        <v>2</v>
      </c>
      <c r="AU7" s="15">
        <f t="shared" ref="AU7" si="159">AU8/AV8</f>
        <v>8.5</v>
      </c>
      <c r="AV7" s="15" t="s">
        <v>2</v>
      </c>
      <c r="AW7" s="15">
        <f t="shared" ref="AW7" si="160">AW8/AX8</f>
        <v>2.8</v>
      </c>
      <c r="AX7" s="15" t="s">
        <v>2</v>
      </c>
      <c r="AY7" s="15">
        <f t="shared" ref="AY7" si="161">AY8/AZ8</f>
        <v>5.2</v>
      </c>
      <c r="AZ7" s="15" t="s">
        <v>2</v>
      </c>
      <c r="BA7" s="15">
        <f t="shared" ref="BA7" si="162">BA8/BB8</f>
        <v>17</v>
      </c>
      <c r="BB7" s="15" t="s">
        <v>2</v>
      </c>
      <c r="BC7" s="15">
        <f t="shared" ref="BC7" si="163">BC8/BD8</f>
        <v>4.4814814814814818</v>
      </c>
      <c r="BD7" s="15" t="s">
        <v>2</v>
      </c>
      <c r="BE7" s="15">
        <f t="shared" ref="BE7" si="164">BE8/BF8</f>
        <v>4.6010638297872344</v>
      </c>
      <c r="BF7" s="15" t="s">
        <v>2</v>
      </c>
      <c r="BG7" s="15">
        <f t="shared" ref="BG7" si="165">BG8/BH8</f>
        <v>5.2249999999999996</v>
      </c>
      <c r="BH7" s="15" t="s">
        <v>2</v>
      </c>
      <c r="BI7" s="15">
        <f t="shared" ref="BI7" si="166">BI8/BJ8</f>
        <v>5.3421052631578947</v>
      </c>
      <c r="BJ7" s="15" t="s">
        <v>2</v>
      </c>
      <c r="BK7" s="15">
        <f t="shared" ref="BK7" si="167">BK8/BL8</f>
        <v>5.5</v>
      </c>
      <c r="BL7" s="15" t="s">
        <v>2</v>
      </c>
      <c r="BM7" s="15">
        <f t="shared" ref="BM7" si="168">BM8/BN8</f>
        <v>10.6</v>
      </c>
      <c r="BN7" s="15" t="s">
        <v>2</v>
      </c>
      <c r="BO7" s="15">
        <f t="shared" ref="BO7" si="169">BO8/BP8</f>
        <v>8.25</v>
      </c>
      <c r="BP7" s="15" t="s">
        <v>2</v>
      </c>
      <c r="BQ7" s="15">
        <f t="shared" ref="BQ7" si="170">BQ8/BR8</f>
        <v>6.75</v>
      </c>
      <c r="BR7" s="15" t="s">
        <v>2</v>
      </c>
      <c r="BS7" s="15">
        <f t="shared" ref="BS7" si="171">BS8/BT8</f>
        <v>5.4</v>
      </c>
      <c r="BT7" s="15" t="s">
        <v>2</v>
      </c>
      <c r="BU7" s="15">
        <f t="shared" ref="BU7" si="172">BU8/BV8</f>
        <v>3.3571428571428572</v>
      </c>
      <c r="BV7" s="15" t="s">
        <v>2</v>
      </c>
      <c r="BW7" s="15">
        <f t="shared" ref="BW7" si="173">BW8/BX8</f>
        <v>7.375</v>
      </c>
      <c r="BX7" s="15" t="s">
        <v>2</v>
      </c>
      <c r="BY7" s="15">
        <f t="shared" ref="BY7" si="174">BY8/BZ8</f>
        <v>2.75</v>
      </c>
      <c r="BZ7" s="15" t="s">
        <v>2</v>
      </c>
      <c r="CA7" s="15">
        <f t="shared" ref="CA7" si="175">CA8/CB8</f>
        <v>9</v>
      </c>
      <c r="CB7" s="15" t="s">
        <v>2</v>
      </c>
      <c r="CC7" s="15" t="e">
        <f t="shared" ref="CC7" si="176">CC8/CD8</f>
        <v>#DIV/0!</v>
      </c>
      <c r="CD7" s="15" t="s">
        <v>2</v>
      </c>
    </row>
    <row r="8" spans="1:87" x14ac:dyDescent="0.3">
      <c r="A8" s="15"/>
      <c r="B8" s="15" t="s">
        <v>3</v>
      </c>
      <c r="C8" s="15">
        <f>SUM(C10:C142)</f>
        <v>2182</v>
      </c>
      <c r="D8" s="15">
        <f>SUM(D10:D142)</f>
        <v>340</v>
      </c>
      <c r="E8" s="15">
        <f t="shared" ref="E8:J8" si="177">SUM(E10:E142)</f>
        <v>904</v>
      </c>
      <c r="F8" s="15">
        <f t="shared" si="177"/>
        <v>149</v>
      </c>
      <c r="G8" s="15">
        <f t="shared" si="177"/>
        <v>5471.5</v>
      </c>
      <c r="H8" s="15">
        <f t="shared" si="177"/>
        <v>735</v>
      </c>
      <c r="I8" s="15">
        <f t="shared" si="177"/>
        <v>181</v>
      </c>
      <c r="J8" s="15">
        <f t="shared" si="177"/>
        <v>60</v>
      </c>
      <c r="K8" s="15">
        <f t="shared" ref="K8:AZ8" si="178">SUM(K10:K142)</f>
        <v>104</v>
      </c>
      <c r="L8" s="15">
        <f t="shared" si="178"/>
        <v>27</v>
      </c>
      <c r="M8" s="15">
        <f t="shared" si="178"/>
        <v>3522</v>
      </c>
      <c r="N8" s="15">
        <f t="shared" si="178"/>
        <v>616</v>
      </c>
      <c r="O8" s="15">
        <f t="shared" si="178"/>
        <v>538</v>
      </c>
      <c r="P8" s="15">
        <f t="shared" si="178"/>
        <v>78</v>
      </c>
      <c r="Q8" s="15">
        <f t="shared" si="178"/>
        <v>2164</v>
      </c>
      <c r="R8" s="15">
        <f t="shared" si="178"/>
        <v>336</v>
      </c>
      <c r="S8" s="15">
        <f t="shared" si="178"/>
        <v>1367</v>
      </c>
      <c r="T8" s="15">
        <f t="shared" si="178"/>
        <v>251</v>
      </c>
      <c r="U8" s="15">
        <f t="shared" si="178"/>
        <v>485</v>
      </c>
      <c r="V8" s="15">
        <f t="shared" si="178"/>
        <v>148</v>
      </c>
      <c r="W8" s="15">
        <f t="shared" si="178"/>
        <v>215</v>
      </c>
      <c r="X8" s="15">
        <f t="shared" si="178"/>
        <v>64</v>
      </c>
      <c r="Y8" s="15">
        <f t="shared" si="178"/>
        <v>0</v>
      </c>
      <c r="Z8" s="15">
        <f t="shared" si="178"/>
        <v>0</v>
      </c>
      <c r="AA8" s="15">
        <f t="shared" si="178"/>
        <v>1502.5</v>
      </c>
      <c r="AB8" s="15">
        <f t="shared" si="178"/>
        <v>284</v>
      </c>
      <c r="AC8" s="15">
        <f t="shared" si="178"/>
        <v>1851</v>
      </c>
      <c r="AD8" s="15">
        <f t="shared" si="178"/>
        <v>332</v>
      </c>
      <c r="AE8" s="15">
        <f t="shared" si="178"/>
        <v>0</v>
      </c>
      <c r="AF8" s="15">
        <f t="shared" si="178"/>
        <v>2</v>
      </c>
      <c r="AG8" s="15">
        <f t="shared" si="178"/>
        <v>0</v>
      </c>
      <c r="AH8" s="15">
        <f t="shared" si="178"/>
        <v>0</v>
      </c>
      <c r="AI8" s="15">
        <f t="shared" si="178"/>
        <v>215</v>
      </c>
      <c r="AJ8" s="15">
        <f t="shared" si="178"/>
        <v>59</v>
      </c>
      <c r="AK8" s="15">
        <f t="shared" si="178"/>
        <v>0</v>
      </c>
      <c r="AL8" s="15">
        <f t="shared" si="178"/>
        <v>0</v>
      </c>
      <c r="AM8" s="15">
        <f t="shared" si="178"/>
        <v>514</v>
      </c>
      <c r="AN8" s="15">
        <f t="shared" si="178"/>
        <v>99</v>
      </c>
      <c r="AO8" s="15">
        <f t="shared" si="178"/>
        <v>-1</v>
      </c>
      <c r="AP8" s="15">
        <f t="shared" si="178"/>
        <v>12</v>
      </c>
      <c r="AQ8" s="15">
        <f t="shared" si="178"/>
        <v>321</v>
      </c>
      <c r="AR8" s="15">
        <f t="shared" si="178"/>
        <v>77</v>
      </c>
      <c r="AS8" s="15">
        <f t="shared" si="178"/>
        <v>8</v>
      </c>
      <c r="AT8" s="15">
        <f t="shared" si="178"/>
        <v>11</v>
      </c>
      <c r="AU8" s="15">
        <f t="shared" si="178"/>
        <v>34</v>
      </c>
      <c r="AV8" s="15">
        <f t="shared" si="178"/>
        <v>4</v>
      </c>
      <c r="AW8" s="15">
        <f t="shared" si="178"/>
        <v>14</v>
      </c>
      <c r="AX8" s="15">
        <f t="shared" si="178"/>
        <v>5</v>
      </c>
      <c r="AY8" s="15">
        <f t="shared" si="178"/>
        <v>104</v>
      </c>
      <c r="AZ8" s="15">
        <f t="shared" si="178"/>
        <v>20</v>
      </c>
      <c r="BA8" s="15">
        <f t="shared" ref="BA8:BD8" si="179">SUM(BA10:BA142)</f>
        <v>34</v>
      </c>
      <c r="BB8" s="15">
        <f t="shared" si="179"/>
        <v>2</v>
      </c>
      <c r="BC8" s="15">
        <f t="shared" si="179"/>
        <v>121</v>
      </c>
      <c r="BD8" s="15">
        <f t="shared" si="179"/>
        <v>27</v>
      </c>
      <c r="BE8" s="15">
        <f t="shared" ref="BE8:BF8" si="180">SUM(BE10:BE142)</f>
        <v>865</v>
      </c>
      <c r="BF8" s="15">
        <f t="shared" si="180"/>
        <v>188</v>
      </c>
      <c r="BG8" s="15">
        <f t="shared" ref="BG8:BL8" si="181">SUM(BG10:BG142)</f>
        <v>209</v>
      </c>
      <c r="BH8" s="15">
        <f t="shared" si="181"/>
        <v>40</v>
      </c>
      <c r="BI8" s="15">
        <f t="shared" si="181"/>
        <v>406</v>
      </c>
      <c r="BJ8" s="15">
        <f t="shared" si="181"/>
        <v>76</v>
      </c>
      <c r="BK8" s="15">
        <f t="shared" si="181"/>
        <v>121</v>
      </c>
      <c r="BL8" s="15">
        <f t="shared" si="181"/>
        <v>22</v>
      </c>
      <c r="BM8" s="15">
        <f t="shared" ref="BM8:BV8" si="182">SUM(BM10:BM142)</f>
        <v>53</v>
      </c>
      <c r="BN8" s="15">
        <f t="shared" si="182"/>
        <v>5</v>
      </c>
      <c r="BO8" s="15">
        <f t="shared" si="182"/>
        <v>33</v>
      </c>
      <c r="BP8" s="15">
        <f t="shared" si="182"/>
        <v>4</v>
      </c>
      <c r="BQ8" s="15">
        <f t="shared" si="182"/>
        <v>135</v>
      </c>
      <c r="BR8" s="15">
        <f t="shared" si="182"/>
        <v>20</v>
      </c>
      <c r="BS8" s="15">
        <f t="shared" si="182"/>
        <v>108</v>
      </c>
      <c r="BT8" s="15">
        <f t="shared" si="182"/>
        <v>20</v>
      </c>
      <c r="BU8" s="15">
        <f t="shared" si="182"/>
        <v>94</v>
      </c>
      <c r="BV8" s="15">
        <f t="shared" si="182"/>
        <v>28</v>
      </c>
      <c r="BW8" s="15">
        <f t="shared" ref="BW8:CD8" si="183">SUM(BW10:BW142)</f>
        <v>59</v>
      </c>
      <c r="BX8" s="15">
        <f t="shared" si="183"/>
        <v>8</v>
      </c>
      <c r="BY8" s="15">
        <f t="shared" si="183"/>
        <v>22</v>
      </c>
      <c r="BZ8" s="15">
        <f>SUM(BZ10:BZ142)</f>
        <v>8</v>
      </c>
      <c r="CA8" s="15">
        <f t="shared" si="183"/>
        <v>72</v>
      </c>
      <c r="CB8" s="15">
        <f t="shared" si="183"/>
        <v>8</v>
      </c>
      <c r="CC8" s="15">
        <f t="shared" si="183"/>
        <v>0</v>
      </c>
      <c r="CD8" s="15">
        <f t="shared" si="183"/>
        <v>0</v>
      </c>
    </row>
    <row r="9" spans="1:87" x14ac:dyDescent="0.3">
      <c r="C9" s="26" t="s">
        <v>70</v>
      </c>
      <c r="D9" s="26"/>
      <c r="E9" s="26" t="s">
        <v>71</v>
      </c>
      <c r="F9" s="26"/>
      <c r="G9" s="26" t="s">
        <v>72</v>
      </c>
      <c r="H9" s="26"/>
      <c r="I9" s="26" t="s">
        <v>73</v>
      </c>
      <c r="J9" s="26"/>
      <c r="K9" s="26" t="s">
        <v>74</v>
      </c>
      <c r="L9" s="26"/>
      <c r="M9" s="26" t="s">
        <v>75</v>
      </c>
      <c r="N9" s="26"/>
      <c r="O9" s="26" t="s">
        <v>76</v>
      </c>
      <c r="P9" s="26"/>
      <c r="Q9" s="26" t="s">
        <v>77</v>
      </c>
      <c r="R9" s="26"/>
      <c r="S9" s="26" t="s">
        <v>78</v>
      </c>
      <c r="T9" s="26"/>
      <c r="U9" s="26" t="s">
        <v>79</v>
      </c>
      <c r="V9" s="26"/>
      <c r="W9" s="26" t="s">
        <v>80</v>
      </c>
      <c r="X9" s="26"/>
      <c r="Y9" s="26" t="s">
        <v>81</v>
      </c>
      <c r="Z9" s="26"/>
      <c r="AA9" s="26" t="s">
        <v>82</v>
      </c>
      <c r="AB9" s="26"/>
      <c r="AC9" s="26" t="s">
        <v>6</v>
      </c>
      <c r="AD9" s="26"/>
      <c r="AE9" s="26" t="s">
        <v>83</v>
      </c>
      <c r="AF9" s="26"/>
      <c r="AG9" s="26" t="s">
        <v>84</v>
      </c>
      <c r="AH9" s="26"/>
      <c r="AI9" s="26" t="s">
        <v>85</v>
      </c>
      <c r="AJ9" s="26"/>
      <c r="AK9" s="26" t="s">
        <v>86</v>
      </c>
      <c r="AL9" s="26"/>
      <c r="AM9" s="25" t="s">
        <v>39</v>
      </c>
      <c r="AN9" s="25"/>
      <c r="AO9" s="25" t="s">
        <v>19</v>
      </c>
      <c r="AP9" s="25"/>
      <c r="AQ9" s="25" t="s">
        <v>20</v>
      </c>
      <c r="AR9" s="25"/>
      <c r="AS9" s="25" t="s">
        <v>87</v>
      </c>
      <c r="AT9" s="25"/>
      <c r="AU9" s="25" t="s">
        <v>21</v>
      </c>
      <c r="AV9" s="25"/>
      <c r="AW9" s="25" t="s">
        <v>88</v>
      </c>
      <c r="AX9" s="25"/>
      <c r="AY9" s="25" t="s">
        <v>89</v>
      </c>
      <c r="AZ9" s="25"/>
      <c r="BA9" s="26" t="s">
        <v>90</v>
      </c>
      <c r="BB9" s="26"/>
      <c r="BC9" s="26" t="s">
        <v>33</v>
      </c>
      <c r="BD9" s="26"/>
      <c r="BE9" s="26" t="s">
        <v>34</v>
      </c>
      <c r="BF9" s="26"/>
      <c r="BG9" s="25" t="s">
        <v>91</v>
      </c>
      <c r="BH9" s="25"/>
      <c r="BI9" s="26" t="s">
        <v>92</v>
      </c>
      <c r="BJ9" s="26"/>
      <c r="BK9" s="26" t="s">
        <v>93</v>
      </c>
      <c r="BL9" s="26"/>
      <c r="BM9" s="26" t="s">
        <v>95</v>
      </c>
      <c r="BN9" s="26"/>
      <c r="BO9" s="26" t="s">
        <v>96</v>
      </c>
      <c r="BP9" s="26"/>
      <c r="BQ9" s="26" t="s">
        <v>97</v>
      </c>
      <c r="BR9" s="26"/>
      <c r="BS9" s="26" t="s">
        <v>99</v>
      </c>
      <c r="BT9" s="26"/>
      <c r="BU9" s="26" t="s">
        <v>98</v>
      </c>
      <c r="BV9" s="26"/>
      <c r="BW9" s="26" t="s">
        <v>100</v>
      </c>
      <c r="BX9" s="26"/>
      <c r="BY9" s="26" t="s">
        <v>101</v>
      </c>
      <c r="BZ9" s="26"/>
      <c r="CA9" s="26" t="s">
        <v>103</v>
      </c>
      <c r="CB9" s="26"/>
      <c r="CC9" s="26" t="s">
        <v>94</v>
      </c>
      <c r="CD9" s="26"/>
    </row>
    <row r="10" spans="1:87" x14ac:dyDescent="0.3">
      <c r="B10" s="1">
        <v>188</v>
      </c>
    </row>
    <row r="11" spans="1:87" x14ac:dyDescent="0.3">
      <c r="B11" s="1">
        <v>187</v>
      </c>
    </row>
    <row r="12" spans="1:87" x14ac:dyDescent="0.3">
      <c r="B12" s="1">
        <v>186</v>
      </c>
    </row>
    <row r="13" spans="1:87" x14ac:dyDescent="0.3">
      <c r="B13" s="1">
        <v>185</v>
      </c>
    </row>
    <row r="14" spans="1:87" x14ac:dyDescent="0.3">
      <c r="B14" s="1">
        <v>184</v>
      </c>
    </row>
    <row r="15" spans="1:87" x14ac:dyDescent="0.3">
      <c r="B15" s="1">
        <v>183</v>
      </c>
      <c r="C15" s="1">
        <v>13</v>
      </c>
      <c r="D15" s="1">
        <v>1</v>
      </c>
      <c r="M15" s="1">
        <v>0</v>
      </c>
      <c r="N15" s="1">
        <v>1</v>
      </c>
      <c r="S15" s="1">
        <v>13</v>
      </c>
      <c r="T15" s="1">
        <v>1</v>
      </c>
      <c r="AC15" s="1">
        <v>0</v>
      </c>
      <c r="AD15" s="1">
        <v>1</v>
      </c>
    </row>
    <row r="16" spans="1:87" x14ac:dyDescent="0.3">
      <c r="B16" s="1">
        <v>182</v>
      </c>
      <c r="G16" s="1">
        <v>115</v>
      </c>
      <c r="H16" s="1">
        <v>13</v>
      </c>
      <c r="M16" s="1">
        <v>70</v>
      </c>
      <c r="N16" s="1">
        <v>12</v>
      </c>
      <c r="O16" s="1">
        <v>0</v>
      </c>
      <c r="P16" s="1">
        <v>1</v>
      </c>
      <c r="S16" s="1">
        <v>72</v>
      </c>
      <c r="T16" s="1">
        <v>13</v>
      </c>
      <c r="AC16" s="1">
        <v>42</v>
      </c>
      <c r="AD16" s="1">
        <v>13</v>
      </c>
    </row>
    <row r="17" spans="1:80" x14ac:dyDescent="0.3">
      <c r="A17" s="1" t="s">
        <v>7</v>
      </c>
      <c r="B17" s="1">
        <v>181</v>
      </c>
      <c r="E17" s="1">
        <v>-9</v>
      </c>
      <c r="F17" s="1">
        <v>9</v>
      </c>
      <c r="G17" s="1">
        <v>75</v>
      </c>
      <c r="H17" s="1">
        <v>9</v>
      </c>
      <c r="O17" s="1">
        <v>52</v>
      </c>
      <c r="P17" s="1">
        <v>9</v>
      </c>
      <c r="S17" s="1">
        <v>80</v>
      </c>
      <c r="T17" s="1">
        <v>9</v>
      </c>
    </row>
    <row r="18" spans="1:80" x14ac:dyDescent="0.3">
      <c r="A18" s="1" t="s">
        <v>7</v>
      </c>
      <c r="B18" s="1">
        <v>180</v>
      </c>
      <c r="C18" s="1">
        <v>37</v>
      </c>
      <c r="D18" s="1">
        <v>3</v>
      </c>
      <c r="E18" s="1">
        <v>23</v>
      </c>
      <c r="F18" s="1">
        <v>3</v>
      </c>
      <c r="O18" s="1">
        <v>-1</v>
      </c>
      <c r="P18" s="1">
        <v>3</v>
      </c>
      <c r="S18" s="1">
        <v>10</v>
      </c>
      <c r="T18" s="1">
        <v>3</v>
      </c>
    </row>
    <row r="19" spans="1:80" x14ac:dyDescent="0.3">
      <c r="A19" s="1" t="s">
        <v>7</v>
      </c>
      <c r="B19" s="1">
        <v>179</v>
      </c>
      <c r="M19" s="1">
        <v>35</v>
      </c>
      <c r="N19" s="1">
        <v>8</v>
      </c>
      <c r="Q19" s="1">
        <v>78</v>
      </c>
      <c r="R19" s="1">
        <v>8</v>
      </c>
      <c r="AC19" s="1">
        <v>24</v>
      </c>
      <c r="AD19" s="1">
        <v>8</v>
      </c>
      <c r="BE19" s="1">
        <v>16</v>
      </c>
      <c r="BF19" s="1">
        <v>8</v>
      </c>
      <c r="CA19" s="1">
        <v>72</v>
      </c>
      <c r="CB19" s="1">
        <v>8</v>
      </c>
    </row>
    <row r="20" spans="1:80" x14ac:dyDescent="0.3">
      <c r="A20" s="1" t="s">
        <v>7</v>
      </c>
      <c r="B20" s="1">
        <v>178</v>
      </c>
      <c r="C20" s="1">
        <v>19</v>
      </c>
      <c r="D20" s="1">
        <v>4</v>
      </c>
      <c r="M20" s="1">
        <v>46</v>
      </c>
      <c r="N20" s="1">
        <v>5</v>
      </c>
      <c r="W20" s="1">
        <v>28</v>
      </c>
      <c r="X20" s="1">
        <v>5</v>
      </c>
      <c r="AC20" s="1">
        <v>13</v>
      </c>
      <c r="AD20" s="1">
        <v>5</v>
      </c>
      <c r="BE20" s="1">
        <v>28</v>
      </c>
      <c r="BF20" s="1">
        <v>5</v>
      </c>
    </row>
    <row r="21" spans="1:80" x14ac:dyDescent="0.3">
      <c r="A21" s="1" t="s">
        <v>7</v>
      </c>
      <c r="B21" s="1">
        <v>177</v>
      </c>
      <c r="G21" s="1">
        <v>26</v>
      </c>
      <c r="H21" s="1">
        <v>4</v>
      </c>
      <c r="M21" s="1">
        <v>13</v>
      </c>
      <c r="N21" s="1">
        <v>4</v>
      </c>
      <c r="W21" s="1">
        <v>0</v>
      </c>
      <c r="X21" s="1">
        <v>4</v>
      </c>
      <c r="AC21" s="1">
        <v>13</v>
      </c>
      <c r="AD21" s="1">
        <v>4</v>
      </c>
    </row>
    <row r="22" spans="1:80" x14ac:dyDescent="0.3">
      <c r="A22" s="1" t="s">
        <v>7</v>
      </c>
      <c r="B22" s="1">
        <v>176</v>
      </c>
      <c r="C22" s="1">
        <v>55</v>
      </c>
      <c r="D22" s="1">
        <v>8</v>
      </c>
      <c r="G22" s="1">
        <v>84</v>
      </c>
      <c r="H22" s="1">
        <v>8</v>
      </c>
      <c r="Q22" s="1">
        <v>26</v>
      </c>
      <c r="R22" s="1">
        <v>8</v>
      </c>
      <c r="W22" s="1">
        <v>23</v>
      </c>
      <c r="X22" s="1">
        <v>8</v>
      </c>
    </row>
    <row r="23" spans="1:80" x14ac:dyDescent="0.3">
      <c r="A23" s="1" t="s">
        <v>7</v>
      </c>
      <c r="B23" s="1">
        <v>175</v>
      </c>
      <c r="E23" s="1">
        <v>41</v>
      </c>
      <c r="F23" s="1">
        <v>6</v>
      </c>
      <c r="G23" s="1">
        <v>27</v>
      </c>
      <c r="H23" s="1">
        <v>5</v>
      </c>
      <c r="M23" s="1">
        <v>-1</v>
      </c>
      <c r="N23" s="1">
        <v>4</v>
      </c>
      <c r="Q23" s="1">
        <v>12</v>
      </c>
      <c r="R23" s="1">
        <v>1</v>
      </c>
      <c r="W23" s="1">
        <v>43</v>
      </c>
      <c r="X23" s="1">
        <v>6</v>
      </c>
      <c r="AC23" s="1">
        <v>29</v>
      </c>
      <c r="AD23" s="1">
        <v>6</v>
      </c>
    </row>
    <row r="24" spans="1:80" x14ac:dyDescent="0.3">
      <c r="A24" s="1" t="s">
        <v>7</v>
      </c>
      <c r="B24" s="1">
        <v>174</v>
      </c>
      <c r="M24" s="1">
        <v>0</v>
      </c>
      <c r="N24" s="1">
        <v>3</v>
      </c>
      <c r="W24" s="1">
        <v>45</v>
      </c>
      <c r="X24" s="1">
        <v>3</v>
      </c>
      <c r="AC24" s="1">
        <v>21</v>
      </c>
      <c r="AD24" s="1">
        <v>3</v>
      </c>
      <c r="BE24" s="1">
        <v>0</v>
      </c>
      <c r="BF24" s="1">
        <v>3</v>
      </c>
    </row>
    <row r="25" spans="1:80" x14ac:dyDescent="0.3">
      <c r="B25" s="1">
        <v>173</v>
      </c>
      <c r="S25" s="1">
        <v>41</v>
      </c>
      <c r="T25" s="1">
        <v>5</v>
      </c>
      <c r="AC25" s="1">
        <v>43</v>
      </c>
      <c r="AD25" s="1">
        <v>5</v>
      </c>
      <c r="BG25" s="1">
        <v>11</v>
      </c>
      <c r="BH25" s="1">
        <v>5</v>
      </c>
      <c r="BK25" s="1">
        <v>47</v>
      </c>
      <c r="BL25" s="1">
        <v>5</v>
      </c>
    </row>
    <row r="26" spans="1:80" x14ac:dyDescent="0.3">
      <c r="B26" s="1">
        <v>172</v>
      </c>
      <c r="Q26" s="1">
        <v>70</v>
      </c>
      <c r="R26" s="1">
        <v>16</v>
      </c>
      <c r="AC26" s="1">
        <v>103</v>
      </c>
      <c r="AD26" s="1">
        <v>16</v>
      </c>
      <c r="BE26" s="1">
        <v>57</v>
      </c>
      <c r="BF26" s="1">
        <v>16</v>
      </c>
      <c r="BI26" s="1">
        <v>125</v>
      </c>
      <c r="BJ26" s="1">
        <v>16</v>
      </c>
    </row>
    <row r="27" spans="1:80" x14ac:dyDescent="0.3">
      <c r="B27" s="1">
        <v>171</v>
      </c>
      <c r="M27" s="1">
        <v>65</v>
      </c>
      <c r="N27" s="1">
        <v>8</v>
      </c>
      <c r="S27" s="1">
        <v>52</v>
      </c>
      <c r="T27" s="1">
        <v>8</v>
      </c>
      <c r="AC27" s="1">
        <v>25</v>
      </c>
      <c r="AD27" s="1">
        <v>8</v>
      </c>
      <c r="AI27" s="1">
        <v>64</v>
      </c>
      <c r="AJ27" s="1">
        <v>8</v>
      </c>
    </row>
    <row r="28" spans="1:80" x14ac:dyDescent="0.3">
      <c r="B28" s="1">
        <v>170</v>
      </c>
      <c r="M28" s="1">
        <v>42</v>
      </c>
      <c r="N28" s="1">
        <v>6</v>
      </c>
      <c r="S28" s="1">
        <v>11</v>
      </c>
      <c r="T28" s="1">
        <v>6</v>
      </c>
      <c r="AA28" s="1">
        <v>58</v>
      </c>
      <c r="AB28" s="1">
        <v>6</v>
      </c>
      <c r="BK28" s="1">
        <v>27</v>
      </c>
      <c r="BL28" s="1">
        <v>6</v>
      </c>
    </row>
    <row r="29" spans="1:80" x14ac:dyDescent="0.3">
      <c r="B29" s="1">
        <v>169</v>
      </c>
      <c r="G29" s="1">
        <v>22</v>
      </c>
      <c r="H29" s="1">
        <v>3</v>
      </c>
      <c r="M29" s="1">
        <v>23</v>
      </c>
      <c r="N29" s="1">
        <v>2</v>
      </c>
      <c r="Q29" s="1">
        <v>11</v>
      </c>
      <c r="R29" s="1">
        <v>2</v>
      </c>
      <c r="S29" s="1">
        <v>0</v>
      </c>
      <c r="T29" s="1">
        <v>2</v>
      </c>
      <c r="AC29" s="1">
        <v>0</v>
      </c>
      <c r="AD29" s="1">
        <v>3</v>
      </c>
    </row>
    <row r="30" spans="1:80" x14ac:dyDescent="0.3">
      <c r="A30" s="1" t="s">
        <v>7</v>
      </c>
      <c r="B30" s="1">
        <v>168</v>
      </c>
      <c r="G30" s="1">
        <v>59</v>
      </c>
      <c r="H30" s="1">
        <v>8</v>
      </c>
      <c r="M30" s="1">
        <v>36</v>
      </c>
      <c r="N30" s="1">
        <v>3</v>
      </c>
      <c r="O30" s="1">
        <v>43</v>
      </c>
      <c r="P30" s="1">
        <v>8</v>
      </c>
      <c r="S30" s="1">
        <v>46</v>
      </c>
      <c r="T30" s="1">
        <v>8</v>
      </c>
      <c r="AC30" s="1">
        <v>103</v>
      </c>
      <c r="AD30" s="1">
        <v>9</v>
      </c>
    </row>
    <row r="31" spans="1:80" x14ac:dyDescent="0.3">
      <c r="A31" s="1" t="s">
        <v>7</v>
      </c>
      <c r="B31" s="1">
        <v>167</v>
      </c>
      <c r="G31" s="1">
        <v>72</v>
      </c>
      <c r="H31" s="1">
        <v>5</v>
      </c>
      <c r="M31" s="1">
        <v>-23</v>
      </c>
      <c r="N31" s="1">
        <v>5</v>
      </c>
      <c r="Q31" s="1">
        <v>52</v>
      </c>
      <c r="R31" s="1">
        <v>5</v>
      </c>
      <c r="BG31" s="1">
        <v>35</v>
      </c>
      <c r="BH31" s="1">
        <v>5</v>
      </c>
    </row>
    <row r="32" spans="1:80" x14ac:dyDescent="0.3">
      <c r="B32" s="1">
        <v>166</v>
      </c>
      <c r="G32" s="1">
        <v>52</v>
      </c>
      <c r="H32" s="1">
        <v>8</v>
      </c>
      <c r="BU32" s="1">
        <v>55</v>
      </c>
      <c r="BV32" s="1">
        <v>8</v>
      </c>
      <c r="BW32" s="1">
        <v>59</v>
      </c>
      <c r="BX32" s="1">
        <v>8</v>
      </c>
      <c r="BY32" s="1">
        <v>22</v>
      </c>
      <c r="BZ32" s="1">
        <v>8</v>
      </c>
    </row>
    <row r="33" spans="1:74" x14ac:dyDescent="0.3">
      <c r="B33" s="1">
        <v>165</v>
      </c>
      <c r="G33" s="1">
        <v>177</v>
      </c>
      <c r="H33" s="1">
        <v>20</v>
      </c>
      <c r="AA33" s="1">
        <v>114</v>
      </c>
      <c r="AB33" s="1">
        <v>20</v>
      </c>
      <c r="BS33" s="1">
        <v>108</v>
      </c>
      <c r="BT33" s="1">
        <v>20</v>
      </c>
      <c r="BU33" s="1">
        <v>39</v>
      </c>
      <c r="BV33" s="1">
        <v>20</v>
      </c>
    </row>
    <row r="34" spans="1:74" x14ac:dyDescent="0.3">
      <c r="A34" s="1" t="s">
        <v>7</v>
      </c>
      <c r="B34" s="1">
        <v>164</v>
      </c>
      <c r="G34" s="1">
        <v>11</v>
      </c>
      <c r="H34" s="1">
        <v>5</v>
      </c>
      <c r="AY34" s="1">
        <v>42</v>
      </c>
      <c r="AZ34" s="1">
        <v>5</v>
      </c>
      <c r="BG34" s="1">
        <v>36</v>
      </c>
      <c r="BH34" s="1">
        <v>5</v>
      </c>
      <c r="BI34" s="1">
        <v>17</v>
      </c>
      <c r="BJ34" s="1">
        <v>5</v>
      </c>
    </row>
    <row r="35" spans="1:74" x14ac:dyDescent="0.3">
      <c r="A35" s="1" t="s">
        <v>7</v>
      </c>
      <c r="B35" s="1">
        <v>163</v>
      </c>
      <c r="G35" s="1">
        <v>17</v>
      </c>
      <c r="H35" s="1">
        <v>4</v>
      </c>
      <c r="AA35" s="1">
        <v>43</v>
      </c>
      <c r="AB35" s="1">
        <v>4</v>
      </c>
      <c r="AC35" s="1">
        <v>17</v>
      </c>
      <c r="AD35" s="1">
        <v>2</v>
      </c>
      <c r="AY35" s="1">
        <v>31</v>
      </c>
      <c r="AZ35" s="1">
        <v>4</v>
      </c>
      <c r="BG35" s="1">
        <v>34</v>
      </c>
      <c r="BH35" s="1">
        <v>4</v>
      </c>
      <c r="BI35" s="1">
        <v>0</v>
      </c>
      <c r="BJ35" s="1">
        <v>2</v>
      </c>
    </row>
    <row r="36" spans="1:74" x14ac:dyDescent="0.3">
      <c r="A36" s="1" t="s">
        <v>7</v>
      </c>
      <c r="B36" s="1">
        <v>162</v>
      </c>
      <c r="Q36" s="1">
        <v>116</v>
      </c>
      <c r="R36" s="1">
        <v>13</v>
      </c>
      <c r="AC36" s="1">
        <v>52</v>
      </c>
      <c r="AD36" s="1">
        <v>13</v>
      </c>
      <c r="BE36" s="1">
        <v>41</v>
      </c>
      <c r="BF36" s="1">
        <v>13</v>
      </c>
      <c r="BI36" s="1">
        <v>132</v>
      </c>
      <c r="BJ36" s="1">
        <v>13</v>
      </c>
    </row>
    <row r="37" spans="1:74" x14ac:dyDescent="0.3">
      <c r="A37" s="1" t="s">
        <v>7</v>
      </c>
      <c r="B37" s="1">
        <v>161</v>
      </c>
      <c r="S37" s="1">
        <v>56</v>
      </c>
      <c r="T37" s="1">
        <v>6</v>
      </c>
      <c r="AC37" s="1">
        <v>24</v>
      </c>
      <c r="AD37" s="1">
        <v>6</v>
      </c>
      <c r="AY37" s="1">
        <v>10</v>
      </c>
      <c r="AZ37" s="1">
        <v>6</v>
      </c>
      <c r="BI37" s="1">
        <v>21</v>
      </c>
      <c r="BJ37" s="1">
        <v>6</v>
      </c>
    </row>
    <row r="38" spans="1:74" x14ac:dyDescent="0.3">
      <c r="A38" s="1" t="s">
        <v>7</v>
      </c>
      <c r="B38" s="1">
        <v>160</v>
      </c>
      <c r="G38" s="1">
        <v>30</v>
      </c>
      <c r="H38" s="1">
        <v>4</v>
      </c>
      <c r="Q38" s="1">
        <v>17</v>
      </c>
      <c r="R38" s="1">
        <v>4</v>
      </c>
      <c r="U38" s="1">
        <v>32</v>
      </c>
      <c r="V38" s="1">
        <v>4</v>
      </c>
      <c r="AA38" s="1">
        <v>34</v>
      </c>
      <c r="AB38" s="1">
        <v>4</v>
      </c>
      <c r="BE38" s="1">
        <v>21</v>
      </c>
      <c r="BF38" s="1">
        <v>4</v>
      </c>
    </row>
    <row r="39" spans="1:74" x14ac:dyDescent="0.3">
      <c r="A39" s="1" t="s">
        <v>7</v>
      </c>
      <c r="B39" s="1">
        <v>159</v>
      </c>
      <c r="G39" s="1">
        <v>58</v>
      </c>
      <c r="H39" s="1">
        <v>4</v>
      </c>
      <c r="S39" s="1">
        <v>-16</v>
      </c>
      <c r="T39" s="1">
        <v>4</v>
      </c>
      <c r="AA39" s="1">
        <v>17</v>
      </c>
      <c r="AB39" s="1">
        <v>4</v>
      </c>
      <c r="BI39" s="1">
        <v>19</v>
      </c>
      <c r="BJ39" s="1">
        <v>4</v>
      </c>
    </row>
    <row r="40" spans="1:74" x14ac:dyDescent="0.3">
      <c r="B40" s="1">
        <v>158</v>
      </c>
      <c r="M40" s="1">
        <v>26</v>
      </c>
      <c r="N40" s="1">
        <v>1</v>
      </c>
      <c r="Q40" s="1">
        <v>35</v>
      </c>
      <c r="R40" s="1">
        <v>5</v>
      </c>
      <c r="S40" s="1">
        <v>41</v>
      </c>
      <c r="T40" s="1">
        <v>6</v>
      </c>
      <c r="AC40" s="1">
        <v>43</v>
      </c>
      <c r="AD40" s="1">
        <v>5</v>
      </c>
      <c r="BG40" s="1">
        <v>11</v>
      </c>
      <c r="BH40" s="1">
        <v>6</v>
      </c>
      <c r="BK40" s="1">
        <v>47</v>
      </c>
      <c r="BL40" s="1">
        <v>5</v>
      </c>
    </row>
    <row r="41" spans="1:74" x14ac:dyDescent="0.3">
      <c r="A41" s="1" t="s">
        <v>7</v>
      </c>
      <c r="B41" s="1">
        <v>157</v>
      </c>
      <c r="G41" s="1">
        <v>33</v>
      </c>
      <c r="H41" s="1">
        <v>8</v>
      </c>
      <c r="M41" s="1">
        <v>14</v>
      </c>
      <c r="N41" s="1">
        <v>8</v>
      </c>
      <c r="AM41" s="1">
        <v>68</v>
      </c>
      <c r="AN41" s="1">
        <v>8</v>
      </c>
      <c r="BE41" s="1">
        <v>50</v>
      </c>
      <c r="BF41" s="1">
        <v>8</v>
      </c>
    </row>
    <row r="42" spans="1:74" x14ac:dyDescent="0.3">
      <c r="A42" s="1" t="s">
        <v>7</v>
      </c>
      <c r="B42" s="1">
        <v>156</v>
      </c>
      <c r="G42" s="1">
        <v>23</v>
      </c>
      <c r="H42" s="1">
        <v>3</v>
      </c>
      <c r="M42" s="1">
        <v>11</v>
      </c>
      <c r="N42" s="1">
        <v>1</v>
      </c>
      <c r="AA42" s="1">
        <v>-18</v>
      </c>
      <c r="AB42" s="1">
        <v>4</v>
      </c>
      <c r="AM42" s="1">
        <v>59</v>
      </c>
      <c r="AN42" s="1">
        <v>5</v>
      </c>
      <c r="BE42" s="1">
        <v>-11</v>
      </c>
      <c r="BF42" s="1">
        <v>2</v>
      </c>
      <c r="BI42" s="1">
        <v>12</v>
      </c>
      <c r="BJ42" s="1">
        <v>5</v>
      </c>
    </row>
    <row r="43" spans="1:74" x14ac:dyDescent="0.3">
      <c r="A43" s="1" t="s">
        <v>7</v>
      </c>
      <c r="B43" s="1">
        <v>155</v>
      </c>
      <c r="G43" s="1">
        <v>92</v>
      </c>
      <c r="H43" s="1">
        <v>9</v>
      </c>
      <c r="AA43" s="1">
        <v>67</v>
      </c>
      <c r="AB43" s="1">
        <v>9</v>
      </c>
      <c r="BE43" s="1">
        <v>69</v>
      </c>
      <c r="BF43" s="1">
        <v>9</v>
      </c>
      <c r="BI43" s="1">
        <v>17</v>
      </c>
      <c r="BJ43" s="1">
        <v>9</v>
      </c>
    </row>
    <row r="44" spans="1:74" x14ac:dyDescent="0.3">
      <c r="B44" s="1">
        <v>154</v>
      </c>
      <c r="G44" s="1">
        <v>110</v>
      </c>
      <c r="H44" s="1">
        <v>20</v>
      </c>
      <c r="Q44" s="1">
        <v>88</v>
      </c>
      <c r="R44" s="1">
        <v>20</v>
      </c>
      <c r="AA44" s="1">
        <v>127</v>
      </c>
      <c r="AB44" s="1">
        <v>20</v>
      </c>
      <c r="BQ44" s="1">
        <v>135</v>
      </c>
      <c r="BR44" s="1">
        <v>20</v>
      </c>
    </row>
    <row r="45" spans="1:74" x14ac:dyDescent="0.3">
      <c r="B45" s="1">
        <v>153</v>
      </c>
      <c r="E45" s="1">
        <v>11</v>
      </c>
      <c r="F45" s="1">
        <v>1</v>
      </c>
      <c r="Q45" s="1">
        <v>-11</v>
      </c>
      <c r="R45" s="1">
        <v>1</v>
      </c>
      <c r="AA45" s="1">
        <v>11</v>
      </c>
      <c r="AB45" s="1">
        <v>1</v>
      </c>
      <c r="BM45" s="1">
        <v>-11</v>
      </c>
      <c r="BN45" s="1">
        <v>1</v>
      </c>
    </row>
    <row r="46" spans="1:74" x14ac:dyDescent="0.3">
      <c r="B46" s="1">
        <v>152</v>
      </c>
      <c r="E46" s="1">
        <v>-11</v>
      </c>
      <c r="F46" s="1">
        <v>4</v>
      </c>
      <c r="G46" s="1">
        <v>38</v>
      </c>
      <c r="H46" s="1">
        <v>4</v>
      </c>
      <c r="Q46" s="1">
        <v>-13</v>
      </c>
      <c r="R46" s="1">
        <v>4</v>
      </c>
      <c r="BM46" s="1">
        <v>64</v>
      </c>
      <c r="BN46" s="1">
        <v>4</v>
      </c>
      <c r="BO46" s="1">
        <v>33</v>
      </c>
      <c r="BP46" s="1">
        <v>4</v>
      </c>
    </row>
    <row r="47" spans="1:74" x14ac:dyDescent="0.3">
      <c r="A47" s="1" t="s">
        <v>7</v>
      </c>
      <c r="B47" s="1">
        <v>151</v>
      </c>
      <c r="G47" s="1">
        <v>65</v>
      </c>
      <c r="H47" s="1">
        <v>8</v>
      </c>
      <c r="M47" s="1">
        <v>31</v>
      </c>
      <c r="N47" s="1">
        <v>8</v>
      </c>
      <c r="Q47" s="1">
        <v>62</v>
      </c>
      <c r="R47" s="1">
        <v>8</v>
      </c>
      <c r="U47" s="1">
        <v>46</v>
      </c>
      <c r="V47" s="1">
        <v>8</v>
      </c>
      <c r="AA47" s="1">
        <v>35</v>
      </c>
      <c r="AB47" s="1">
        <v>8</v>
      </c>
    </row>
    <row r="48" spans="1:74" x14ac:dyDescent="0.3">
      <c r="A48" s="1" t="s">
        <v>7</v>
      </c>
      <c r="B48" s="1">
        <v>150</v>
      </c>
      <c r="Q48" s="1">
        <v>105</v>
      </c>
      <c r="R48" s="1">
        <v>12</v>
      </c>
      <c r="S48" s="1">
        <v>150</v>
      </c>
      <c r="T48" s="1">
        <v>12</v>
      </c>
      <c r="AC48" s="1">
        <v>45</v>
      </c>
      <c r="AD48" s="1">
        <v>12</v>
      </c>
      <c r="BE48" s="1">
        <v>41</v>
      </c>
      <c r="BF48" s="1">
        <v>12</v>
      </c>
    </row>
    <row r="49" spans="1:64" x14ac:dyDescent="0.3">
      <c r="A49" s="1" t="s">
        <v>7</v>
      </c>
      <c r="B49" s="1">
        <v>149</v>
      </c>
      <c r="G49" s="1">
        <v>26</v>
      </c>
      <c r="H49" s="1">
        <v>10</v>
      </c>
      <c r="M49" s="1">
        <v>74</v>
      </c>
      <c r="N49" s="1">
        <v>11</v>
      </c>
      <c r="S49" s="1">
        <v>39</v>
      </c>
      <c r="T49" s="1">
        <v>10</v>
      </c>
      <c r="AA49" s="1">
        <v>42</v>
      </c>
      <c r="AB49" s="1">
        <v>11</v>
      </c>
      <c r="AC49" s="1">
        <v>55</v>
      </c>
      <c r="AD49" s="1">
        <v>10</v>
      </c>
    </row>
    <row r="50" spans="1:64" x14ac:dyDescent="0.3">
      <c r="A50" s="1" t="s">
        <v>7</v>
      </c>
      <c r="B50" s="1">
        <v>148</v>
      </c>
      <c r="G50" s="1">
        <v>52</v>
      </c>
      <c r="H50" s="1">
        <v>6</v>
      </c>
      <c r="M50" s="1">
        <v>0</v>
      </c>
      <c r="N50" s="1">
        <v>2</v>
      </c>
      <c r="S50" s="1">
        <v>28</v>
      </c>
      <c r="T50" s="1">
        <v>3</v>
      </c>
      <c r="AC50" s="1">
        <v>64</v>
      </c>
      <c r="AD50" s="1">
        <v>6</v>
      </c>
      <c r="BG50" s="1">
        <v>0</v>
      </c>
      <c r="BH50" s="1">
        <v>1</v>
      </c>
      <c r="BK50" s="1">
        <v>0</v>
      </c>
      <c r="BL50" s="1">
        <v>6</v>
      </c>
    </row>
    <row r="51" spans="1:64" x14ac:dyDescent="0.3">
      <c r="A51" s="1" t="s">
        <v>7</v>
      </c>
      <c r="B51" s="1">
        <v>147</v>
      </c>
      <c r="G51" s="1">
        <v>28</v>
      </c>
      <c r="H51" s="1">
        <v>6</v>
      </c>
      <c r="M51" s="1">
        <v>105</v>
      </c>
      <c r="N51" s="1">
        <v>6</v>
      </c>
      <c r="AA51" s="1">
        <v>13</v>
      </c>
      <c r="AB51" s="1">
        <v>6</v>
      </c>
      <c r="BG51" s="1">
        <v>13</v>
      </c>
      <c r="BH51" s="1">
        <v>6</v>
      </c>
    </row>
    <row r="52" spans="1:64" x14ac:dyDescent="0.3">
      <c r="A52" s="1" t="s">
        <v>7</v>
      </c>
      <c r="B52" s="1">
        <v>146</v>
      </c>
      <c r="G52" s="1">
        <v>83</v>
      </c>
      <c r="H52" s="1">
        <v>8</v>
      </c>
      <c r="M52" s="1">
        <v>10</v>
      </c>
      <c r="N52" s="1">
        <v>8</v>
      </c>
      <c r="AC52" s="1">
        <v>68</v>
      </c>
      <c r="AD52" s="1">
        <v>8</v>
      </c>
      <c r="BE52" s="1">
        <v>29</v>
      </c>
      <c r="BF52" s="1">
        <v>8</v>
      </c>
    </row>
    <row r="53" spans="1:64" x14ac:dyDescent="0.3">
      <c r="A53" s="1" t="s">
        <v>7</v>
      </c>
      <c r="B53" s="1">
        <v>145</v>
      </c>
      <c r="Q53" s="1">
        <v>98</v>
      </c>
      <c r="R53" s="1">
        <v>8</v>
      </c>
      <c r="S53" s="1">
        <v>22</v>
      </c>
      <c r="T53" s="1">
        <v>8</v>
      </c>
      <c r="AA53" s="1">
        <v>57</v>
      </c>
      <c r="AB53" s="1">
        <v>8</v>
      </c>
      <c r="AC53" s="1">
        <v>35</v>
      </c>
      <c r="AD53" s="1">
        <v>8</v>
      </c>
    </row>
    <row r="54" spans="1:64" x14ac:dyDescent="0.3">
      <c r="A54" s="1" t="s">
        <v>7</v>
      </c>
      <c r="B54" s="1">
        <v>144</v>
      </c>
      <c r="G54" s="1">
        <v>38</v>
      </c>
      <c r="H54" s="1">
        <v>8</v>
      </c>
      <c r="M54" s="1">
        <v>55</v>
      </c>
      <c r="N54" s="1">
        <v>8</v>
      </c>
      <c r="BE54" s="1">
        <v>35</v>
      </c>
      <c r="BF54" s="1">
        <v>8</v>
      </c>
      <c r="BI54" s="1">
        <v>9</v>
      </c>
      <c r="BJ54" s="1">
        <v>8</v>
      </c>
    </row>
    <row r="55" spans="1:64" x14ac:dyDescent="0.3">
      <c r="A55" s="1" t="s">
        <v>7</v>
      </c>
      <c r="B55" s="1">
        <v>143</v>
      </c>
      <c r="G55" s="1">
        <v>82</v>
      </c>
      <c r="H55" s="1">
        <v>6</v>
      </c>
      <c r="M55" s="1">
        <v>60</v>
      </c>
      <c r="N55" s="1">
        <v>7</v>
      </c>
      <c r="S55" s="1">
        <v>4</v>
      </c>
      <c r="T55" s="1">
        <v>6</v>
      </c>
      <c r="AA55" s="1">
        <v>64</v>
      </c>
      <c r="AB55" s="1">
        <v>6</v>
      </c>
      <c r="AC55" s="1">
        <v>13</v>
      </c>
      <c r="AD55" s="1">
        <v>7</v>
      </c>
    </row>
    <row r="56" spans="1:64" x14ac:dyDescent="0.3">
      <c r="A56" s="1" t="s">
        <v>7</v>
      </c>
      <c r="B56" s="1">
        <v>142</v>
      </c>
      <c r="G56" s="1">
        <v>51</v>
      </c>
      <c r="H56" s="1">
        <v>8</v>
      </c>
      <c r="W56" s="1">
        <v>43</v>
      </c>
      <c r="X56" s="1">
        <v>8</v>
      </c>
      <c r="AC56" s="1">
        <v>32</v>
      </c>
      <c r="AD56" s="1">
        <v>8</v>
      </c>
      <c r="BI56" s="1">
        <v>54</v>
      </c>
      <c r="BJ56" s="1">
        <v>8</v>
      </c>
    </row>
    <row r="57" spans="1:64" x14ac:dyDescent="0.3">
      <c r="A57" s="1" t="s">
        <v>7</v>
      </c>
      <c r="B57" s="1">
        <v>141</v>
      </c>
      <c r="M57" s="1">
        <v>11</v>
      </c>
      <c r="N57" s="1">
        <v>2</v>
      </c>
      <c r="Q57" s="1">
        <v>0</v>
      </c>
      <c r="R57" s="1">
        <v>2</v>
      </c>
      <c r="S57" s="1">
        <v>11</v>
      </c>
      <c r="T57" s="1">
        <v>2</v>
      </c>
      <c r="AC57" s="1">
        <v>18</v>
      </c>
      <c r="AD57" s="1">
        <v>2</v>
      </c>
    </row>
    <row r="58" spans="1:64" x14ac:dyDescent="0.3">
      <c r="A58" s="1" t="s">
        <v>7</v>
      </c>
      <c r="B58" s="1">
        <v>140</v>
      </c>
      <c r="M58" s="1">
        <v>24</v>
      </c>
      <c r="N58" s="1">
        <v>8</v>
      </c>
      <c r="Q58" s="1">
        <v>28</v>
      </c>
      <c r="R58" s="1">
        <v>8</v>
      </c>
      <c r="S58" s="1">
        <v>53</v>
      </c>
      <c r="T58" s="1">
        <v>8</v>
      </c>
      <c r="AC58" s="1">
        <v>76</v>
      </c>
      <c r="AD58" s="1">
        <v>8</v>
      </c>
    </row>
    <row r="59" spans="1:64" x14ac:dyDescent="0.3">
      <c r="A59" s="1" t="s">
        <v>7</v>
      </c>
      <c r="B59" s="1">
        <v>139</v>
      </c>
      <c r="M59" s="1">
        <v>38</v>
      </c>
      <c r="N59" s="1">
        <v>10</v>
      </c>
      <c r="O59" s="1">
        <v>63</v>
      </c>
      <c r="P59" s="1">
        <v>10</v>
      </c>
      <c r="Q59" s="1">
        <v>120</v>
      </c>
      <c r="R59" s="1">
        <v>10</v>
      </c>
      <c r="AA59" s="1">
        <v>39</v>
      </c>
      <c r="AB59" s="1">
        <v>10</v>
      </c>
    </row>
    <row r="60" spans="1:64" x14ac:dyDescent="0.3">
      <c r="A60" s="1" t="s">
        <v>7</v>
      </c>
      <c r="B60" s="1">
        <v>138</v>
      </c>
      <c r="G60" s="1">
        <v>-8</v>
      </c>
      <c r="H60" s="1">
        <v>1</v>
      </c>
      <c r="M60" s="1">
        <v>8</v>
      </c>
      <c r="N60" s="1">
        <v>1</v>
      </c>
      <c r="Q60" s="1">
        <v>-8</v>
      </c>
      <c r="R60" s="1">
        <v>1</v>
      </c>
      <c r="S60" s="1">
        <v>8</v>
      </c>
      <c r="T60" s="1">
        <v>1</v>
      </c>
    </row>
    <row r="61" spans="1:64" x14ac:dyDescent="0.3">
      <c r="A61" s="1" t="s">
        <v>7</v>
      </c>
      <c r="B61" s="1">
        <v>137</v>
      </c>
      <c r="G61" s="1">
        <v>25</v>
      </c>
      <c r="H61" s="1">
        <v>3</v>
      </c>
      <c r="M61" s="1">
        <v>0</v>
      </c>
      <c r="N61" s="1">
        <v>3</v>
      </c>
      <c r="S61" s="1">
        <v>22</v>
      </c>
      <c r="T61" s="1">
        <v>3</v>
      </c>
      <c r="AC61" s="1">
        <v>19</v>
      </c>
      <c r="AD61" s="1">
        <v>3</v>
      </c>
    </row>
    <row r="62" spans="1:64" x14ac:dyDescent="0.3">
      <c r="A62" s="1" t="s">
        <v>7</v>
      </c>
      <c r="B62" s="1">
        <v>136</v>
      </c>
      <c r="M62" s="1">
        <v>-31</v>
      </c>
      <c r="N62" s="1">
        <v>8</v>
      </c>
      <c r="Q62" s="1">
        <v>89</v>
      </c>
      <c r="R62" s="1">
        <v>8</v>
      </c>
      <c r="S62" s="1">
        <v>15</v>
      </c>
      <c r="T62" s="1">
        <v>8</v>
      </c>
      <c r="AC62" s="1">
        <v>104</v>
      </c>
      <c r="AD62" s="1">
        <v>8</v>
      </c>
      <c r="BE62" s="1">
        <v>56</v>
      </c>
      <c r="BF62" s="1">
        <v>8</v>
      </c>
    </row>
    <row r="63" spans="1:64" x14ac:dyDescent="0.3">
      <c r="A63" s="1" t="s">
        <v>7</v>
      </c>
      <c r="B63" s="1">
        <v>135</v>
      </c>
      <c r="G63" s="1">
        <v>42</v>
      </c>
      <c r="H63" s="1">
        <v>8</v>
      </c>
      <c r="M63" s="1">
        <v>76</v>
      </c>
      <c r="N63" s="1">
        <v>8</v>
      </c>
      <c r="S63" s="1">
        <v>50</v>
      </c>
      <c r="T63" s="1">
        <v>8</v>
      </c>
      <c r="BE63" s="1">
        <v>11</v>
      </c>
      <c r="BF63" s="1">
        <v>8</v>
      </c>
    </row>
    <row r="64" spans="1:64" x14ac:dyDescent="0.3">
      <c r="A64" s="1" t="s">
        <v>7</v>
      </c>
      <c r="B64" s="1">
        <v>134</v>
      </c>
      <c r="G64" s="1">
        <v>51</v>
      </c>
      <c r="H64" s="1">
        <v>8</v>
      </c>
      <c r="M64" s="1">
        <v>66</v>
      </c>
      <c r="N64" s="1">
        <v>8</v>
      </c>
      <c r="S64" s="1">
        <v>25</v>
      </c>
      <c r="T64" s="1">
        <v>8</v>
      </c>
      <c r="BG64" s="1">
        <v>69</v>
      </c>
      <c r="BH64" s="1">
        <v>8</v>
      </c>
    </row>
    <row r="65" spans="1:58" x14ac:dyDescent="0.3">
      <c r="B65" s="1">
        <v>133</v>
      </c>
      <c r="C65" s="1">
        <v>76</v>
      </c>
      <c r="D65" s="1">
        <v>5</v>
      </c>
      <c r="G65" s="1">
        <v>49</v>
      </c>
      <c r="H65" s="1">
        <v>5</v>
      </c>
      <c r="K65" s="1">
        <v>-3</v>
      </c>
      <c r="L65" s="1">
        <v>5</v>
      </c>
      <c r="Q65" s="1">
        <v>24</v>
      </c>
      <c r="R65" s="1">
        <v>5</v>
      </c>
    </row>
    <row r="66" spans="1:58" x14ac:dyDescent="0.3">
      <c r="A66" s="1" t="s">
        <v>7</v>
      </c>
      <c r="B66" s="1">
        <v>132</v>
      </c>
      <c r="G66" s="1">
        <v>48</v>
      </c>
      <c r="H66" s="1">
        <v>16</v>
      </c>
      <c r="M66" s="1">
        <v>86</v>
      </c>
      <c r="N66" s="1">
        <v>16</v>
      </c>
      <c r="S66" s="1">
        <v>108</v>
      </c>
      <c r="T66" s="1">
        <v>16</v>
      </c>
      <c r="AA66" s="1">
        <v>92</v>
      </c>
      <c r="AB66" s="1">
        <v>16</v>
      </c>
      <c r="AC66" s="1">
        <v>127</v>
      </c>
      <c r="AD66" s="1">
        <v>16</v>
      </c>
    </row>
    <row r="67" spans="1:58" x14ac:dyDescent="0.3">
      <c r="A67" s="1" t="s">
        <v>7</v>
      </c>
      <c r="B67" s="1">
        <v>131</v>
      </c>
      <c r="M67" s="1">
        <v>48</v>
      </c>
      <c r="N67" s="1">
        <v>10</v>
      </c>
      <c r="AM67" s="1">
        <v>54</v>
      </c>
      <c r="AN67" s="1">
        <v>10</v>
      </c>
      <c r="AQ67" s="1">
        <v>23</v>
      </c>
      <c r="AR67" s="1">
        <v>10</v>
      </c>
      <c r="BC67" s="1">
        <v>57</v>
      </c>
      <c r="BD67" s="1">
        <v>10</v>
      </c>
    </row>
    <row r="68" spans="1:58" x14ac:dyDescent="0.3">
      <c r="A68" s="1" t="s">
        <v>7</v>
      </c>
      <c r="B68" s="1">
        <v>130</v>
      </c>
      <c r="M68" s="1">
        <v>112</v>
      </c>
      <c r="N68" s="1">
        <v>16</v>
      </c>
      <c r="Q68" s="1">
        <v>67</v>
      </c>
      <c r="R68" s="1">
        <v>16</v>
      </c>
      <c r="AM68" s="1">
        <v>157</v>
      </c>
      <c r="AN68" s="1">
        <v>16</v>
      </c>
      <c r="AQ68" s="1">
        <v>22</v>
      </c>
      <c r="AR68" s="1">
        <v>16</v>
      </c>
    </row>
    <row r="69" spans="1:58" x14ac:dyDescent="0.3">
      <c r="A69" s="1" t="s">
        <v>7</v>
      </c>
      <c r="B69" s="1">
        <v>129</v>
      </c>
      <c r="G69" s="1">
        <v>31</v>
      </c>
      <c r="H69" s="1">
        <v>2</v>
      </c>
      <c r="M69" s="1">
        <v>20</v>
      </c>
      <c r="N69" s="1">
        <v>2</v>
      </c>
      <c r="Q69" s="1">
        <v>11</v>
      </c>
      <c r="R69" s="1">
        <v>1</v>
      </c>
      <c r="AA69" s="1">
        <v>0</v>
      </c>
      <c r="AB69" s="1">
        <v>1</v>
      </c>
      <c r="AM69" s="1">
        <v>0</v>
      </c>
      <c r="AN69" s="1">
        <v>2</v>
      </c>
    </row>
    <row r="70" spans="1:58" x14ac:dyDescent="0.3">
      <c r="A70" s="1" t="s">
        <v>7</v>
      </c>
      <c r="B70" s="1">
        <v>128</v>
      </c>
      <c r="M70" s="1">
        <v>76</v>
      </c>
      <c r="N70" s="1">
        <v>8</v>
      </c>
      <c r="Q70" s="1">
        <v>50</v>
      </c>
      <c r="R70" s="1">
        <v>8</v>
      </c>
      <c r="AC70" s="1">
        <v>26</v>
      </c>
      <c r="AD70" s="1">
        <v>8</v>
      </c>
      <c r="AM70" s="1">
        <v>32</v>
      </c>
      <c r="AN70" s="1">
        <v>8</v>
      </c>
      <c r="BE70" s="1">
        <v>45</v>
      </c>
      <c r="BF70" s="1">
        <v>8</v>
      </c>
    </row>
    <row r="71" spans="1:58" x14ac:dyDescent="0.3">
      <c r="A71" s="1" t="s">
        <v>7</v>
      </c>
      <c r="B71" s="1">
        <v>127</v>
      </c>
      <c r="M71" s="1">
        <v>12</v>
      </c>
      <c r="N71" s="1">
        <v>4</v>
      </c>
      <c r="Q71" s="1">
        <v>60</v>
      </c>
      <c r="R71" s="1">
        <v>4</v>
      </c>
      <c r="AC71" s="1">
        <v>25</v>
      </c>
      <c r="AD71" s="1">
        <v>4</v>
      </c>
      <c r="BE71" s="1">
        <v>-4</v>
      </c>
      <c r="BF71" s="1">
        <v>4</v>
      </c>
    </row>
    <row r="72" spans="1:58" x14ac:dyDescent="0.3">
      <c r="A72" s="1" t="s">
        <v>7</v>
      </c>
      <c r="B72" s="1">
        <v>126</v>
      </c>
      <c r="G72" s="1">
        <v>54</v>
      </c>
      <c r="H72" s="1">
        <v>10</v>
      </c>
      <c r="M72" s="1">
        <v>88</v>
      </c>
      <c r="N72" s="1">
        <v>10</v>
      </c>
      <c r="Q72" s="1">
        <v>43</v>
      </c>
      <c r="R72" s="1">
        <v>10</v>
      </c>
      <c r="U72" s="1">
        <v>32</v>
      </c>
      <c r="V72" s="1">
        <v>10</v>
      </c>
    </row>
    <row r="73" spans="1:58" x14ac:dyDescent="0.3">
      <c r="A73" s="1" t="s">
        <v>7</v>
      </c>
      <c r="B73" s="1">
        <v>125</v>
      </c>
      <c r="M73" s="1">
        <v>13</v>
      </c>
      <c r="N73" s="1">
        <v>4</v>
      </c>
      <c r="O73" s="1">
        <v>13</v>
      </c>
      <c r="P73" s="1">
        <v>4</v>
      </c>
      <c r="AM73" s="1">
        <v>26</v>
      </c>
      <c r="AN73" s="1">
        <v>4</v>
      </c>
      <c r="AQ73" s="1">
        <v>44</v>
      </c>
      <c r="AR73" s="1">
        <v>4</v>
      </c>
    </row>
    <row r="74" spans="1:58" x14ac:dyDescent="0.3">
      <c r="A74" s="1" t="s">
        <v>7</v>
      </c>
      <c r="B74" s="1">
        <v>124</v>
      </c>
      <c r="G74" s="1">
        <v>112</v>
      </c>
      <c r="H74" s="1">
        <v>10</v>
      </c>
      <c r="M74" s="1">
        <v>23</v>
      </c>
      <c r="N74" s="1">
        <v>10</v>
      </c>
      <c r="Q74" s="1">
        <v>103</v>
      </c>
      <c r="R74" s="1">
        <v>10</v>
      </c>
      <c r="AC74" s="1">
        <v>57</v>
      </c>
      <c r="AD74" s="1">
        <v>11</v>
      </c>
      <c r="BE74" s="1">
        <v>36</v>
      </c>
      <c r="BF74" s="1">
        <v>7</v>
      </c>
    </row>
    <row r="75" spans="1:58" x14ac:dyDescent="0.3">
      <c r="A75" s="1" t="s">
        <v>7</v>
      </c>
      <c r="B75" s="1">
        <v>123</v>
      </c>
      <c r="G75" s="1">
        <v>119</v>
      </c>
      <c r="H75" s="1">
        <v>12</v>
      </c>
      <c r="M75" s="1">
        <v>68</v>
      </c>
      <c r="N75" s="1">
        <v>12</v>
      </c>
      <c r="U75" s="1">
        <v>33</v>
      </c>
      <c r="V75" s="1">
        <v>12</v>
      </c>
      <c r="AA75" s="1">
        <v>74</v>
      </c>
      <c r="AB75" s="1">
        <v>12</v>
      </c>
    </row>
    <row r="76" spans="1:58" x14ac:dyDescent="0.3">
      <c r="A76" s="1" t="s">
        <v>7</v>
      </c>
      <c r="B76" s="1">
        <v>122</v>
      </c>
      <c r="C76" s="1">
        <v>28</v>
      </c>
      <c r="D76" s="1">
        <v>8</v>
      </c>
      <c r="G76" s="1">
        <v>46</v>
      </c>
      <c r="H76" s="1">
        <v>8</v>
      </c>
      <c r="M76" s="1">
        <v>41</v>
      </c>
      <c r="N76" s="1">
        <v>8</v>
      </c>
      <c r="Q76" s="1">
        <v>36</v>
      </c>
      <c r="R76" s="1">
        <v>8</v>
      </c>
    </row>
    <row r="77" spans="1:58" x14ac:dyDescent="0.3">
      <c r="A77" s="1" t="s">
        <v>7</v>
      </c>
      <c r="B77" s="1">
        <v>121</v>
      </c>
      <c r="Q77" s="1">
        <v>59</v>
      </c>
      <c r="R77" s="1">
        <v>5</v>
      </c>
      <c r="AA77" s="1">
        <v>53</v>
      </c>
      <c r="AB77" s="1">
        <v>5</v>
      </c>
      <c r="AC77" s="1">
        <v>24</v>
      </c>
      <c r="AD77" s="1">
        <v>4</v>
      </c>
      <c r="AQ77" s="1">
        <v>51</v>
      </c>
      <c r="AR77" s="1">
        <v>5</v>
      </c>
      <c r="BE77" s="1">
        <v>13</v>
      </c>
      <c r="BF77" s="1">
        <v>5</v>
      </c>
    </row>
    <row r="78" spans="1:58" x14ac:dyDescent="0.3">
      <c r="A78" s="1" t="s">
        <v>7</v>
      </c>
      <c r="B78" s="1">
        <v>120</v>
      </c>
      <c r="C78" s="1">
        <v>98</v>
      </c>
      <c r="D78" s="1">
        <v>16</v>
      </c>
      <c r="G78" s="1">
        <v>120</v>
      </c>
      <c r="H78" s="1">
        <v>16</v>
      </c>
      <c r="M78" s="1">
        <v>156</v>
      </c>
      <c r="N78" s="1">
        <v>16</v>
      </c>
      <c r="O78" s="1">
        <v>98</v>
      </c>
      <c r="P78" s="1">
        <v>16</v>
      </c>
      <c r="AM78" s="1">
        <v>27</v>
      </c>
      <c r="AN78" s="1">
        <v>16</v>
      </c>
    </row>
    <row r="79" spans="1:58" x14ac:dyDescent="0.3">
      <c r="A79" s="1" t="s">
        <v>7</v>
      </c>
      <c r="B79" s="1">
        <v>119</v>
      </c>
      <c r="G79" s="1">
        <v>114</v>
      </c>
      <c r="H79" s="1">
        <v>12</v>
      </c>
      <c r="M79" s="1">
        <v>98</v>
      </c>
      <c r="N79" s="1">
        <v>12</v>
      </c>
      <c r="AA79" s="1">
        <v>46</v>
      </c>
      <c r="AB79" s="1">
        <v>12</v>
      </c>
      <c r="AQ79" s="1">
        <v>64</v>
      </c>
      <c r="AR79" s="1">
        <v>12</v>
      </c>
    </row>
    <row r="80" spans="1:58" x14ac:dyDescent="0.3">
      <c r="A80" s="1" t="s">
        <v>7</v>
      </c>
      <c r="B80" s="1">
        <v>118</v>
      </c>
      <c r="G80" s="1">
        <v>39</v>
      </c>
      <c r="H80" s="1">
        <v>8</v>
      </c>
      <c r="M80" s="1">
        <v>54</v>
      </c>
      <c r="N80" s="1">
        <v>8</v>
      </c>
      <c r="AC80" s="1">
        <v>34</v>
      </c>
      <c r="AD80" s="1">
        <v>8</v>
      </c>
      <c r="AQ80" s="1">
        <v>62</v>
      </c>
      <c r="AR80" s="1">
        <v>8</v>
      </c>
    </row>
    <row r="81" spans="1:58" x14ac:dyDescent="0.3">
      <c r="A81" s="1" t="s">
        <v>7</v>
      </c>
      <c r="B81" s="1">
        <v>117</v>
      </c>
      <c r="C81" s="1">
        <v>22</v>
      </c>
      <c r="D81" s="1">
        <v>3</v>
      </c>
      <c r="Q81" s="1">
        <v>0</v>
      </c>
      <c r="R81" s="1">
        <v>3</v>
      </c>
      <c r="S81" s="1">
        <v>0</v>
      </c>
      <c r="T81" s="1">
        <v>3</v>
      </c>
      <c r="AC81" s="1">
        <v>49</v>
      </c>
      <c r="AD81" s="1">
        <v>4</v>
      </c>
      <c r="AI81" s="1">
        <v>28</v>
      </c>
      <c r="AJ81" s="1">
        <v>3</v>
      </c>
    </row>
    <row r="82" spans="1:58" x14ac:dyDescent="0.3">
      <c r="A82" s="1" t="s">
        <v>7</v>
      </c>
      <c r="B82" s="1">
        <v>116</v>
      </c>
      <c r="C82" s="1">
        <v>130</v>
      </c>
      <c r="D82" s="1">
        <v>12</v>
      </c>
      <c r="M82" s="1">
        <v>45</v>
      </c>
      <c r="N82" s="1">
        <v>12</v>
      </c>
      <c r="AC82" s="1">
        <v>69</v>
      </c>
      <c r="AD82" s="1">
        <v>12</v>
      </c>
      <c r="AI82" s="1">
        <v>31</v>
      </c>
      <c r="AJ82" s="1">
        <v>12</v>
      </c>
    </row>
    <row r="83" spans="1:58" x14ac:dyDescent="0.3">
      <c r="A83" s="1" t="s">
        <v>7</v>
      </c>
      <c r="B83" s="1">
        <v>115</v>
      </c>
      <c r="G83" s="1">
        <v>20</v>
      </c>
      <c r="H83" s="1">
        <v>4</v>
      </c>
      <c r="M83" s="1">
        <v>49</v>
      </c>
      <c r="N83" s="1">
        <v>4</v>
      </c>
      <c r="Q83" s="1">
        <v>24</v>
      </c>
      <c r="R83" s="1">
        <v>4</v>
      </c>
      <c r="AC83" s="1">
        <v>13</v>
      </c>
      <c r="AD83" s="1">
        <v>4</v>
      </c>
      <c r="BE83" s="1">
        <v>25</v>
      </c>
      <c r="BF83" s="1">
        <v>4</v>
      </c>
    </row>
    <row r="84" spans="1:58" x14ac:dyDescent="0.3">
      <c r="A84" s="1" t="s">
        <v>7</v>
      </c>
      <c r="B84" s="1">
        <v>114</v>
      </c>
      <c r="M84" s="1">
        <v>47</v>
      </c>
      <c r="N84" s="1">
        <v>3</v>
      </c>
      <c r="AC84" s="1">
        <v>0</v>
      </c>
      <c r="AD84" s="1">
        <v>3</v>
      </c>
      <c r="AM84" s="1">
        <v>0</v>
      </c>
      <c r="AN84" s="1">
        <v>3</v>
      </c>
      <c r="BE84" s="1">
        <v>13</v>
      </c>
      <c r="BF84" s="1">
        <v>3</v>
      </c>
    </row>
    <row r="85" spans="1:58" x14ac:dyDescent="0.3">
      <c r="A85" s="1" t="s">
        <v>7</v>
      </c>
      <c r="B85" s="1">
        <v>113</v>
      </c>
      <c r="C85" s="1">
        <v>31</v>
      </c>
      <c r="D85" s="1">
        <v>12</v>
      </c>
      <c r="G85" s="1">
        <v>131</v>
      </c>
      <c r="H85" s="1">
        <v>12</v>
      </c>
      <c r="M85" s="1">
        <v>102</v>
      </c>
      <c r="N85" s="1">
        <v>12</v>
      </c>
      <c r="U85" s="1">
        <v>10</v>
      </c>
      <c r="V85" s="1">
        <v>12</v>
      </c>
    </row>
    <row r="86" spans="1:58" x14ac:dyDescent="0.3">
      <c r="A86" s="1" t="s">
        <v>7</v>
      </c>
      <c r="B86" s="1">
        <v>112</v>
      </c>
      <c r="M86" s="1">
        <v>8</v>
      </c>
      <c r="N86" s="1">
        <v>5</v>
      </c>
      <c r="S86" s="1">
        <v>28</v>
      </c>
      <c r="T86" s="1">
        <v>5</v>
      </c>
      <c r="AC86" s="1">
        <v>35</v>
      </c>
      <c r="AD86" s="1">
        <v>5</v>
      </c>
      <c r="AY86" s="1">
        <v>21</v>
      </c>
      <c r="AZ86" s="1">
        <v>5</v>
      </c>
    </row>
    <row r="87" spans="1:58" x14ac:dyDescent="0.3">
      <c r="A87" s="1" t="s">
        <v>7</v>
      </c>
      <c r="B87" s="1">
        <v>111</v>
      </c>
      <c r="M87" s="1">
        <v>97</v>
      </c>
      <c r="N87" s="1">
        <v>8</v>
      </c>
      <c r="Q87" s="1">
        <v>45</v>
      </c>
      <c r="R87" s="1">
        <v>8</v>
      </c>
      <c r="AA87" s="1">
        <v>1</v>
      </c>
      <c r="AB87" s="1">
        <v>8</v>
      </c>
      <c r="AC87" s="1">
        <v>31</v>
      </c>
      <c r="AD87" s="1">
        <v>8</v>
      </c>
      <c r="BE87" s="1">
        <v>65</v>
      </c>
      <c r="BF87" s="1">
        <v>8</v>
      </c>
    </row>
    <row r="88" spans="1:58" x14ac:dyDescent="0.3">
      <c r="A88" s="1" t="s">
        <v>7</v>
      </c>
      <c r="B88" s="1">
        <v>110</v>
      </c>
      <c r="M88" s="1">
        <v>36</v>
      </c>
      <c r="N88" s="1">
        <v>7</v>
      </c>
      <c r="Q88" s="1">
        <v>79</v>
      </c>
      <c r="R88" s="1">
        <v>7</v>
      </c>
      <c r="S88" s="1">
        <v>-1</v>
      </c>
      <c r="T88" s="1">
        <v>7</v>
      </c>
      <c r="AC88" s="1">
        <v>47</v>
      </c>
      <c r="AD88" s="1">
        <v>7</v>
      </c>
    </row>
    <row r="89" spans="1:58" x14ac:dyDescent="0.3">
      <c r="A89" s="1" t="s">
        <v>7</v>
      </c>
      <c r="B89" s="1">
        <v>109</v>
      </c>
      <c r="G89" s="1">
        <v>40</v>
      </c>
      <c r="H89" s="1">
        <v>3</v>
      </c>
      <c r="Q89" s="1">
        <v>14</v>
      </c>
      <c r="R89" s="1">
        <v>3</v>
      </c>
      <c r="AC89" s="1">
        <v>15</v>
      </c>
      <c r="AD89" s="1">
        <v>3</v>
      </c>
      <c r="AM89" s="1">
        <v>9</v>
      </c>
      <c r="AN89" s="1">
        <v>1</v>
      </c>
      <c r="BE89" s="1">
        <v>17</v>
      </c>
      <c r="BF89" s="1">
        <v>2</v>
      </c>
    </row>
    <row r="90" spans="1:58" x14ac:dyDescent="0.3">
      <c r="A90" s="1" t="s">
        <v>7</v>
      </c>
      <c r="B90" s="1">
        <v>108</v>
      </c>
      <c r="Q90" s="1">
        <v>64</v>
      </c>
      <c r="R90" s="1">
        <v>11</v>
      </c>
      <c r="AA90" s="1">
        <v>15</v>
      </c>
      <c r="AB90" s="1">
        <v>11</v>
      </c>
      <c r="AM90" s="1">
        <v>53</v>
      </c>
      <c r="AN90" s="1">
        <v>11</v>
      </c>
      <c r="BE90" s="1">
        <v>96</v>
      </c>
      <c r="BF90" s="1">
        <v>11</v>
      </c>
    </row>
    <row r="91" spans="1:58" x14ac:dyDescent="0.3">
      <c r="A91" s="1" t="s">
        <v>7</v>
      </c>
      <c r="B91" s="1">
        <v>107</v>
      </c>
      <c r="G91" s="1">
        <v>77</v>
      </c>
      <c r="H91" s="1">
        <v>7</v>
      </c>
      <c r="M91" s="1">
        <v>63</v>
      </c>
      <c r="N91" s="1">
        <v>7</v>
      </c>
      <c r="S91" s="1">
        <v>14</v>
      </c>
      <c r="T91" s="1">
        <v>7</v>
      </c>
      <c r="AM91" s="1">
        <v>8</v>
      </c>
      <c r="AN91" s="1">
        <v>7</v>
      </c>
    </row>
    <row r="92" spans="1:58" x14ac:dyDescent="0.3">
      <c r="A92" s="1" t="s">
        <v>7</v>
      </c>
      <c r="B92" s="1">
        <v>106</v>
      </c>
      <c r="C92" s="1">
        <v>98</v>
      </c>
      <c r="D92" s="1">
        <v>16</v>
      </c>
      <c r="G92" s="1">
        <v>189</v>
      </c>
      <c r="H92" s="1">
        <v>16</v>
      </c>
      <c r="M92" s="1">
        <v>83</v>
      </c>
      <c r="N92" s="1">
        <v>16</v>
      </c>
      <c r="AC92" s="1">
        <v>54</v>
      </c>
      <c r="AD92" s="1">
        <v>16</v>
      </c>
    </row>
    <row r="93" spans="1:58" x14ac:dyDescent="0.3">
      <c r="A93" s="1" t="s">
        <v>7</v>
      </c>
      <c r="B93" s="1">
        <v>105</v>
      </c>
      <c r="C93" s="1">
        <v>79</v>
      </c>
      <c r="D93" s="1">
        <v>6</v>
      </c>
      <c r="Q93" s="1">
        <v>9</v>
      </c>
      <c r="R93" s="1">
        <v>7</v>
      </c>
      <c r="AA93" s="1">
        <v>13</v>
      </c>
      <c r="AB93" s="1">
        <v>6</v>
      </c>
      <c r="AC93" s="1">
        <v>21</v>
      </c>
      <c r="AD93" s="1">
        <v>6</v>
      </c>
      <c r="BE93" s="1">
        <v>20</v>
      </c>
      <c r="BF93" s="1">
        <v>7</v>
      </c>
    </row>
    <row r="94" spans="1:58" x14ac:dyDescent="0.3">
      <c r="A94" s="1" t="s">
        <v>7</v>
      </c>
      <c r="B94" s="1">
        <v>104</v>
      </c>
      <c r="G94" s="1">
        <v>103</v>
      </c>
      <c r="H94" s="1">
        <v>9</v>
      </c>
      <c r="M94" s="1">
        <v>31</v>
      </c>
      <c r="N94" s="1">
        <v>9</v>
      </c>
      <c r="S94" s="1">
        <v>64</v>
      </c>
      <c r="T94" s="1">
        <v>9</v>
      </c>
      <c r="AA94" s="1">
        <v>62</v>
      </c>
      <c r="AB94" s="1">
        <v>9</v>
      </c>
    </row>
    <row r="95" spans="1:58" x14ac:dyDescent="0.3">
      <c r="A95" s="1" t="s">
        <v>7</v>
      </c>
      <c r="B95" s="1">
        <v>103</v>
      </c>
      <c r="G95" s="1">
        <v>172</v>
      </c>
      <c r="H95" s="1">
        <v>17</v>
      </c>
      <c r="M95" s="1">
        <v>81</v>
      </c>
      <c r="N95" s="1">
        <v>17</v>
      </c>
      <c r="AQ95" s="1">
        <v>55</v>
      </c>
      <c r="AR95" s="1">
        <v>17</v>
      </c>
      <c r="BC95" s="1">
        <v>64</v>
      </c>
      <c r="BD95" s="1">
        <v>17</v>
      </c>
      <c r="BE95" s="1">
        <v>96</v>
      </c>
      <c r="BF95" s="1">
        <v>17</v>
      </c>
    </row>
    <row r="96" spans="1:58" x14ac:dyDescent="0.3">
      <c r="A96" s="1" t="s">
        <v>7</v>
      </c>
      <c r="B96" s="1">
        <v>102</v>
      </c>
      <c r="G96" s="1">
        <v>12</v>
      </c>
      <c r="H96" s="1">
        <v>5</v>
      </c>
      <c r="M96" s="1">
        <v>56</v>
      </c>
      <c r="N96" s="1">
        <v>5</v>
      </c>
      <c r="S96" s="1">
        <v>41</v>
      </c>
      <c r="T96" s="1">
        <v>5</v>
      </c>
      <c r="AQ96" s="1">
        <v>0</v>
      </c>
      <c r="AR96" s="1">
        <v>5</v>
      </c>
    </row>
    <row r="97" spans="1:95" x14ac:dyDescent="0.3">
      <c r="A97" s="1" t="s">
        <v>7</v>
      </c>
      <c r="B97" s="1">
        <v>101</v>
      </c>
      <c r="C97" s="1">
        <v>99</v>
      </c>
      <c r="D97" s="1">
        <v>12</v>
      </c>
      <c r="G97" s="1">
        <v>142</v>
      </c>
      <c r="H97" s="1">
        <v>12</v>
      </c>
      <c r="M97" s="1">
        <v>-30</v>
      </c>
      <c r="N97" s="1">
        <v>12</v>
      </c>
      <c r="AC97" s="1">
        <v>87</v>
      </c>
      <c r="AD97" s="1">
        <v>12</v>
      </c>
      <c r="AI97" s="1">
        <v>50</v>
      </c>
      <c r="AJ97" s="1">
        <v>12</v>
      </c>
    </row>
    <row r="98" spans="1:95" x14ac:dyDescent="0.3">
      <c r="A98" s="1" t="s">
        <v>7</v>
      </c>
      <c r="B98" s="1">
        <v>100</v>
      </c>
      <c r="C98" s="1">
        <v>22</v>
      </c>
      <c r="D98" s="1">
        <v>4</v>
      </c>
      <c r="G98" s="1">
        <v>44</v>
      </c>
      <c r="H98" s="1">
        <v>6</v>
      </c>
      <c r="M98" s="1">
        <v>8</v>
      </c>
      <c r="N98" s="1">
        <v>6</v>
      </c>
      <c r="Q98" s="1">
        <v>58</v>
      </c>
      <c r="R98" s="1">
        <v>6</v>
      </c>
      <c r="AC98" s="1">
        <v>48</v>
      </c>
      <c r="AD98" s="1">
        <v>6</v>
      </c>
      <c r="AE98" s="1" t="s">
        <v>29</v>
      </c>
    </row>
    <row r="99" spans="1:95" x14ac:dyDescent="0.3">
      <c r="A99" s="1" t="s">
        <v>7</v>
      </c>
      <c r="B99" s="1">
        <v>99</v>
      </c>
      <c r="G99" s="1">
        <v>24</v>
      </c>
      <c r="H99" s="1">
        <v>4</v>
      </c>
      <c r="M99" s="1">
        <v>21</v>
      </c>
      <c r="N99" s="1">
        <v>4</v>
      </c>
      <c r="U99" s="1">
        <v>50</v>
      </c>
      <c r="V99" s="1">
        <v>4</v>
      </c>
      <c r="AC99" s="1">
        <v>0</v>
      </c>
      <c r="AD99" s="1">
        <v>4</v>
      </c>
    </row>
    <row r="100" spans="1:95" x14ac:dyDescent="0.3">
      <c r="A100" s="1" t="s">
        <v>7</v>
      </c>
      <c r="B100" s="1">
        <v>98</v>
      </c>
      <c r="G100" s="1">
        <v>50</v>
      </c>
      <c r="H100" s="1">
        <v>5</v>
      </c>
      <c r="M100" s="1">
        <v>49</v>
      </c>
      <c r="N100" s="1">
        <v>5</v>
      </c>
      <c r="U100" s="1">
        <v>22</v>
      </c>
      <c r="V100" s="1">
        <v>5</v>
      </c>
      <c r="AA100" s="1">
        <v>0</v>
      </c>
      <c r="AB100" s="1">
        <v>5</v>
      </c>
    </row>
    <row r="101" spans="1:95" x14ac:dyDescent="0.3">
      <c r="A101" s="1" t="s">
        <v>7</v>
      </c>
      <c r="B101" s="1">
        <v>97</v>
      </c>
      <c r="C101" s="1">
        <v>60</v>
      </c>
      <c r="D101" s="1">
        <v>8</v>
      </c>
      <c r="G101" s="1">
        <v>-4</v>
      </c>
      <c r="H101" s="1">
        <v>8</v>
      </c>
      <c r="Q101" s="1">
        <v>9</v>
      </c>
      <c r="R101" s="1">
        <v>8</v>
      </c>
      <c r="AA101" s="1">
        <v>67</v>
      </c>
      <c r="AB101" s="1">
        <v>8</v>
      </c>
    </row>
    <row r="102" spans="1:95" x14ac:dyDescent="0.3">
      <c r="A102" s="1" t="s">
        <v>7</v>
      </c>
      <c r="B102" s="1">
        <v>96</v>
      </c>
      <c r="C102" s="1">
        <v>59</v>
      </c>
      <c r="D102" s="1">
        <v>4</v>
      </c>
      <c r="G102" s="1">
        <v>48</v>
      </c>
      <c r="H102" s="1">
        <v>4</v>
      </c>
      <c r="Q102" s="1">
        <v>28</v>
      </c>
      <c r="R102" s="1">
        <v>4</v>
      </c>
      <c r="U102" s="1">
        <v>-31</v>
      </c>
      <c r="V102" s="1">
        <v>4</v>
      </c>
    </row>
    <row r="103" spans="1:95" x14ac:dyDescent="0.3">
      <c r="A103" s="1" t="s">
        <v>7</v>
      </c>
      <c r="B103" s="1">
        <v>95</v>
      </c>
      <c r="C103" s="1">
        <v>46</v>
      </c>
      <c r="D103" s="1">
        <v>8</v>
      </c>
      <c r="G103" s="1">
        <v>90</v>
      </c>
      <c r="H103" s="1">
        <v>8</v>
      </c>
      <c r="Q103" s="1">
        <v>58</v>
      </c>
      <c r="R103" s="1">
        <v>8</v>
      </c>
      <c r="AI103" s="1">
        <v>13</v>
      </c>
      <c r="AJ103" s="1">
        <v>8</v>
      </c>
    </row>
    <row r="104" spans="1:95" x14ac:dyDescent="0.3">
      <c r="A104" s="1" t="s">
        <v>7</v>
      </c>
      <c r="B104" s="1">
        <v>94</v>
      </c>
      <c r="C104" s="1">
        <v>30</v>
      </c>
      <c r="D104" s="1">
        <v>8</v>
      </c>
      <c r="G104" s="1">
        <v>62</v>
      </c>
      <c r="H104" s="1">
        <v>8</v>
      </c>
      <c r="K104" s="1">
        <v>86</v>
      </c>
      <c r="L104" s="1">
        <v>8</v>
      </c>
      <c r="M104" s="1">
        <v>0</v>
      </c>
      <c r="N104" s="1">
        <v>8</v>
      </c>
    </row>
    <row r="105" spans="1:95" x14ac:dyDescent="0.3">
      <c r="A105" s="1" t="s">
        <v>7</v>
      </c>
      <c r="B105" s="1">
        <v>93</v>
      </c>
      <c r="G105" s="1">
        <v>130</v>
      </c>
      <c r="H105" s="1">
        <v>20</v>
      </c>
      <c r="M105" s="1">
        <v>108</v>
      </c>
      <c r="N105" s="1">
        <v>20</v>
      </c>
      <c r="U105" s="1">
        <v>99</v>
      </c>
      <c r="V105" s="1">
        <v>20</v>
      </c>
      <c r="AA105" s="1">
        <v>99</v>
      </c>
      <c r="AB105" s="1">
        <v>20</v>
      </c>
    </row>
    <row r="106" spans="1:95" x14ac:dyDescent="0.3">
      <c r="A106" s="1" t="s">
        <v>7</v>
      </c>
      <c r="B106" s="1">
        <v>92</v>
      </c>
      <c r="C106" s="1">
        <v>13</v>
      </c>
      <c r="D106" s="1">
        <v>4</v>
      </c>
      <c r="G106" s="1">
        <v>25</v>
      </c>
      <c r="H106" s="1">
        <v>4</v>
      </c>
      <c r="M106" s="1">
        <v>13</v>
      </c>
      <c r="N106" s="1">
        <v>4</v>
      </c>
      <c r="U106" s="1">
        <v>34</v>
      </c>
      <c r="V106" s="1">
        <v>4</v>
      </c>
    </row>
    <row r="107" spans="1:95" x14ac:dyDescent="0.3">
      <c r="A107" s="1" t="s">
        <v>7</v>
      </c>
      <c r="B107" s="1">
        <v>91</v>
      </c>
      <c r="G107" s="1">
        <v>123</v>
      </c>
      <c r="H107" s="1">
        <v>16</v>
      </c>
      <c r="M107" s="1">
        <v>108</v>
      </c>
      <c r="N107" s="1">
        <v>16</v>
      </c>
      <c r="Q107" s="1">
        <v>122</v>
      </c>
      <c r="R107" s="1">
        <v>16</v>
      </c>
      <c r="AA107" s="1">
        <v>97</v>
      </c>
      <c r="AB107" s="1">
        <v>16</v>
      </c>
      <c r="CN107" s="1" t="s">
        <v>43</v>
      </c>
      <c r="CP107" s="1" t="s">
        <v>53</v>
      </c>
    </row>
    <row r="108" spans="1:95" x14ac:dyDescent="0.3">
      <c r="A108" s="1" t="s">
        <v>7</v>
      </c>
      <c r="B108" s="1">
        <v>90</v>
      </c>
      <c r="C108" s="1">
        <v>62</v>
      </c>
      <c r="D108" s="1">
        <v>12</v>
      </c>
      <c r="G108" s="1">
        <v>39</v>
      </c>
      <c r="H108" s="1">
        <v>12</v>
      </c>
      <c r="M108" s="1">
        <v>98</v>
      </c>
      <c r="N108" s="1">
        <v>12</v>
      </c>
      <c r="U108" s="1">
        <v>42</v>
      </c>
      <c r="V108" s="1">
        <v>12</v>
      </c>
      <c r="CN108" s="1" t="s">
        <v>42</v>
      </c>
    </row>
    <row r="109" spans="1:95" x14ac:dyDescent="0.3">
      <c r="A109" s="1" t="s">
        <v>7</v>
      </c>
      <c r="B109" s="1">
        <v>89</v>
      </c>
      <c r="C109" s="1">
        <v>34</v>
      </c>
      <c r="D109" s="1">
        <v>5</v>
      </c>
      <c r="G109" s="1">
        <v>67</v>
      </c>
      <c r="H109" s="1">
        <v>5</v>
      </c>
      <c r="M109" s="1">
        <v>9</v>
      </c>
      <c r="N109" s="1">
        <v>5</v>
      </c>
      <c r="Q109" s="1">
        <v>14</v>
      </c>
      <c r="R109" s="1">
        <v>5</v>
      </c>
      <c r="CN109" s="1" t="s">
        <v>51</v>
      </c>
      <c r="CO109" s="23"/>
      <c r="CP109" s="1" t="s">
        <v>60</v>
      </c>
      <c r="CQ109" s="1" t="s">
        <v>63</v>
      </c>
    </row>
    <row r="110" spans="1:95" x14ac:dyDescent="0.3">
      <c r="A110" s="1" t="s">
        <v>7</v>
      </c>
      <c r="B110" s="1">
        <v>88</v>
      </c>
      <c r="C110" s="1">
        <v>8</v>
      </c>
      <c r="D110" s="1">
        <v>4</v>
      </c>
      <c r="G110" s="1">
        <v>46</v>
      </c>
      <c r="H110" s="1">
        <v>4</v>
      </c>
      <c r="M110" s="1">
        <v>23</v>
      </c>
      <c r="N110" s="1">
        <v>4</v>
      </c>
      <c r="S110" s="1">
        <v>6</v>
      </c>
      <c r="T110" s="1">
        <v>4</v>
      </c>
      <c r="CN110" s="1" t="s">
        <v>52</v>
      </c>
      <c r="CO110" s="24"/>
      <c r="CP110" s="1" t="s">
        <v>61</v>
      </c>
      <c r="CQ110" s="1" t="s">
        <v>54</v>
      </c>
    </row>
    <row r="111" spans="1:95" x14ac:dyDescent="0.3">
      <c r="A111" s="1" t="s">
        <v>7</v>
      </c>
      <c r="B111" s="1">
        <v>87</v>
      </c>
      <c r="C111" s="1">
        <v>21</v>
      </c>
      <c r="D111" s="1">
        <v>3</v>
      </c>
      <c r="G111" s="1">
        <v>23</v>
      </c>
      <c r="H111" s="1">
        <v>3</v>
      </c>
      <c r="I111" s="1">
        <v>8</v>
      </c>
      <c r="J111" s="1">
        <v>3</v>
      </c>
      <c r="M111" s="1">
        <v>0</v>
      </c>
      <c r="N111" s="1">
        <v>3</v>
      </c>
      <c r="CN111" s="1" t="s">
        <v>50</v>
      </c>
      <c r="CO111" s="17"/>
      <c r="CP111" s="1" t="s">
        <v>55</v>
      </c>
      <c r="CQ111" s="1" t="s">
        <v>64</v>
      </c>
    </row>
    <row r="112" spans="1:95" x14ac:dyDescent="0.3">
      <c r="A112" s="1" t="s">
        <v>7</v>
      </c>
      <c r="B112" s="1">
        <v>86</v>
      </c>
      <c r="C112" s="1">
        <v>0</v>
      </c>
      <c r="D112" s="1">
        <v>4</v>
      </c>
      <c r="G112" s="1">
        <v>37</v>
      </c>
      <c r="H112" s="1">
        <v>4</v>
      </c>
      <c r="I112" s="1">
        <v>25</v>
      </c>
      <c r="J112" s="1">
        <v>4</v>
      </c>
      <c r="K112" s="1">
        <v>62</v>
      </c>
      <c r="L112" s="1">
        <v>4</v>
      </c>
      <c r="CN112" s="1" t="s">
        <v>44</v>
      </c>
      <c r="CO112" s="18"/>
      <c r="CP112" s="1" t="s">
        <v>59</v>
      </c>
      <c r="CQ112" s="1" t="s">
        <v>65</v>
      </c>
    </row>
    <row r="113" spans="1:99" x14ac:dyDescent="0.3">
      <c r="A113" s="1" t="s">
        <v>7</v>
      </c>
      <c r="B113" s="1">
        <v>85</v>
      </c>
      <c r="C113" s="1">
        <v>93</v>
      </c>
      <c r="D113" s="1">
        <v>8</v>
      </c>
      <c r="G113" s="1">
        <v>13</v>
      </c>
      <c r="H113" s="1">
        <v>8</v>
      </c>
      <c r="S113" s="1">
        <v>81</v>
      </c>
      <c r="T113" s="1">
        <v>8</v>
      </c>
      <c r="AA113" s="1">
        <v>55</v>
      </c>
      <c r="AB113" s="1">
        <v>8</v>
      </c>
      <c r="CN113" s="1" t="s">
        <v>45</v>
      </c>
      <c r="CO113" s="21"/>
      <c r="CP113" s="1" t="s">
        <v>56</v>
      </c>
      <c r="CQ113" s="1" t="s">
        <v>66</v>
      </c>
    </row>
    <row r="114" spans="1:99" x14ac:dyDescent="0.3">
      <c r="A114" s="1" t="s">
        <v>7</v>
      </c>
      <c r="B114" s="1">
        <v>84</v>
      </c>
      <c r="C114" s="1">
        <v>34</v>
      </c>
      <c r="D114" s="1">
        <v>8</v>
      </c>
      <c r="G114" s="1">
        <v>52</v>
      </c>
      <c r="H114" s="1">
        <v>8</v>
      </c>
      <c r="M114" s="1">
        <v>34</v>
      </c>
      <c r="N114" s="1">
        <v>8</v>
      </c>
      <c r="S114" s="1">
        <v>50</v>
      </c>
      <c r="T114" s="1">
        <v>8</v>
      </c>
      <c r="AA114" s="1">
        <v>32</v>
      </c>
      <c r="AB114" s="1">
        <v>8</v>
      </c>
      <c r="CN114" s="1" t="s">
        <v>46</v>
      </c>
      <c r="CO114" s="19"/>
      <c r="CP114" s="1" t="s">
        <v>57</v>
      </c>
      <c r="CQ114" s="1" t="s">
        <v>67</v>
      </c>
    </row>
    <row r="115" spans="1:99" x14ac:dyDescent="0.3">
      <c r="A115" s="1" t="s">
        <v>7</v>
      </c>
      <c r="B115" s="1">
        <v>83</v>
      </c>
      <c r="C115" s="1">
        <v>23</v>
      </c>
      <c r="D115" s="1">
        <v>8</v>
      </c>
      <c r="G115" s="1">
        <v>24</v>
      </c>
      <c r="H115" s="1">
        <v>8</v>
      </c>
      <c r="M115" s="1">
        <v>94</v>
      </c>
      <c r="N115" s="1">
        <v>8</v>
      </c>
      <c r="S115" s="1">
        <v>43</v>
      </c>
      <c r="T115" s="1">
        <v>8</v>
      </c>
      <c r="CN115" s="1" t="s">
        <v>47</v>
      </c>
      <c r="CO115" s="20"/>
      <c r="CP115" s="1" t="s">
        <v>58</v>
      </c>
      <c r="CQ115" s="1" t="s">
        <v>68</v>
      </c>
    </row>
    <row r="116" spans="1:99" x14ac:dyDescent="0.3">
      <c r="A116" s="1" t="s">
        <v>7</v>
      </c>
      <c r="B116" s="1">
        <v>82</v>
      </c>
      <c r="C116" s="1">
        <v>72</v>
      </c>
      <c r="D116" s="1">
        <v>12</v>
      </c>
      <c r="G116" s="1">
        <v>84</v>
      </c>
      <c r="H116" s="1">
        <v>12</v>
      </c>
      <c r="M116" s="1">
        <v>56</v>
      </c>
      <c r="N116" s="1">
        <v>12</v>
      </c>
      <c r="AI116" s="1">
        <v>32</v>
      </c>
      <c r="AJ116" s="1">
        <v>12</v>
      </c>
      <c r="CN116" s="1" t="s">
        <v>48</v>
      </c>
      <c r="CO116" s="22"/>
      <c r="CP116" s="1" t="s">
        <v>62</v>
      </c>
      <c r="CQ116" s="1" t="s">
        <v>69</v>
      </c>
    </row>
    <row r="117" spans="1:99" x14ac:dyDescent="0.3">
      <c r="A117" s="1" t="s">
        <v>7</v>
      </c>
      <c r="B117" s="1">
        <v>81</v>
      </c>
      <c r="C117" s="1">
        <v>29</v>
      </c>
      <c r="D117" s="1">
        <v>5</v>
      </c>
      <c r="E117" s="1">
        <v>33</v>
      </c>
      <c r="F117" s="1">
        <v>6</v>
      </c>
      <c r="G117" s="1">
        <v>30.5</v>
      </c>
      <c r="H117" s="1">
        <v>3</v>
      </c>
      <c r="M117" s="1">
        <v>16</v>
      </c>
      <c r="N117" s="1">
        <v>2</v>
      </c>
      <c r="U117" s="1">
        <v>-20</v>
      </c>
      <c r="V117" s="1">
        <v>5</v>
      </c>
      <c r="AA117" s="1">
        <v>30.5</v>
      </c>
      <c r="AB117" s="1">
        <v>3</v>
      </c>
    </row>
    <row r="118" spans="1:99" x14ac:dyDescent="0.3">
      <c r="A118" s="1" t="s">
        <v>7</v>
      </c>
      <c r="B118" s="1">
        <v>80</v>
      </c>
      <c r="C118" s="1">
        <v>28</v>
      </c>
      <c r="D118" s="1">
        <v>7</v>
      </c>
      <c r="E118" s="1">
        <v>0</v>
      </c>
      <c r="F118" s="1">
        <v>7</v>
      </c>
      <c r="G118" s="1">
        <v>54</v>
      </c>
      <c r="H118" s="1">
        <v>8</v>
      </c>
      <c r="S118" s="1">
        <v>67</v>
      </c>
      <c r="T118" s="1">
        <v>7</v>
      </c>
      <c r="U118" s="1">
        <v>46</v>
      </c>
      <c r="V118" s="1">
        <v>7</v>
      </c>
      <c r="CJ118" s="1" t="s">
        <v>8</v>
      </c>
      <c r="CK118" s="1" t="s">
        <v>36</v>
      </c>
      <c r="CL118" s="1" t="s">
        <v>37</v>
      </c>
      <c r="CM118" s="1" t="s">
        <v>42</v>
      </c>
      <c r="CO118" s="1" t="s">
        <v>40</v>
      </c>
      <c r="CP118" s="1" t="s">
        <v>36</v>
      </c>
      <c r="CQ118" s="1" t="s">
        <v>41</v>
      </c>
      <c r="CR118" s="1" t="s">
        <v>42</v>
      </c>
      <c r="CT118" s="1" t="s">
        <v>35</v>
      </c>
    </row>
    <row r="119" spans="1:99" x14ac:dyDescent="0.3">
      <c r="A119" s="1" t="s">
        <v>7</v>
      </c>
      <c r="B119" s="1">
        <v>79</v>
      </c>
      <c r="C119" s="1">
        <v>75</v>
      </c>
      <c r="D119" s="1">
        <v>8</v>
      </c>
      <c r="E119" s="1">
        <v>87</v>
      </c>
      <c r="F119" s="1">
        <v>8</v>
      </c>
      <c r="G119" s="1">
        <v>10</v>
      </c>
      <c r="H119" s="1">
        <v>8</v>
      </c>
      <c r="W119" s="1">
        <v>32</v>
      </c>
      <c r="X119" s="1">
        <v>8</v>
      </c>
    </row>
    <row r="120" spans="1:99" x14ac:dyDescent="0.3">
      <c r="A120" s="1" t="s">
        <v>7</v>
      </c>
      <c r="B120" s="1">
        <v>78</v>
      </c>
      <c r="C120" s="1">
        <v>0</v>
      </c>
      <c r="D120" s="1">
        <v>3</v>
      </c>
      <c r="E120" s="1">
        <v>0</v>
      </c>
      <c r="F120" s="1">
        <v>1</v>
      </c>
      <c r="G120" s="1">
        <v>44</v>
      </c>
      <c r="H120" s="1">
        <v>4</v>
      </c>
      <c r="I120" s="1">
        <v>-14</v>
      </c>
      <c r="J120" s="1">
        <v>2</v>
      </c>
      <c r="M120" s="1">
        <v>33</v>
      </c>
      <c r="N120" s="1">
        <v>4</v>
      </c>
      <c r="W120" s="1">
        <v>-1</v>
      </c>
      <c r="X120" s="1">
        <v>4</v>
      </c>
      <c r="BA120" s="1">
        <v>34</v>
      </c>
      <c r="BB120" s="1">
        <v>2</v>
      </c>
      <c r="CG120" s="2"/>
      <c r="CH120" s="1" t="s">
        <v>30</v>
      </c>
      <c r="CJ120" s="1" cm="1">
        <f t="array" ref="CJ120:CM146">_xlfn.LET(
  _xlpm.cols_impairs, _xlfn.SEQUENCE(1,COLUMNS(C1:BV1)/2,1,2),
  _xlpm.cols_pairs,   _xlfn.SEQUENCE(1,COLUMNS(C2:BV2)/2,2,2),
  _xlpm.noms,     TRANSPOSE(INDEX(C9:BV9,,_xlpm.cols_impairs)),
  _xlpm.moy,      TRANSPOSE(INDEX(C1:BV1,,_xlpm.cols_impairs)),
  _xlpm.parties,  TRANSPOSE(INDEX(C2:BV2,,_xlpm.cols_pairs)),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CK120" s="1" t="str">
        <v>Boris</v>
      </c>
      <c r="CL120" s="1" t="str">
        <v>7.242</v>
      </c>
      <c r="CM120" s="1">
        <v>1260</v>
      </c>
      <c r="CO120" s="1" cm="1">
        <f t="array" ref="CO120:CR126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CP120" s="1" t="str">
        <v>Amélie</v>
      </c>
      <c r="CQ120" s="1" t="str">
        <v>17.000</v>
      </c>
      <c r="CR120" s="1">
        <v>2</v>
      </c>
      <c r="CT120" s="1" t="str" cm="1">
        <f t="array" ref="CT120:CU147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Boris</v>
      </c>
      <c r="CU120" s="1">
        <v>7.2416666666666663</v>
      </c>
    </row>
    <row r="121" spans="1:99" x14ac:dyDescent="0.3">
      <c r="A121" s="1" t="s">
        <v>24</v>
      </c>
      <c r="B121" s="1">
        <v>77</v>
      </c>
      <c r="G121" s="1">
        <v>135</v>
      </c>
      <c r="H121" s="1">
        <v>12</v>
      </c>
      <c r="M121" s="1">
        <v>142</v>
      </c>
      <c r="N121" s="1">
        <v>12</v>
      </c>
      <c r="U121" s="1">
        <v>-7</v>
      </c>
      <c r="V121" s="1">
        <v>12</v>
      </c>
      <c r="AA121" s="1">
        <v>20</v>
      </c>
      <c r="AB121" s="1">
        <v>8</v>
      </c>
      <c r="CG121" s="3"/>
      <c r="CH121" s="1" t="s">
        <v>31</v>
      </c>
      <c r="CJ121" s="1">
        <v>2</v>
      </c>
      <c r="CK121" s="1" t="str">
        <v>Vincent</v>
      </c>
      <c r="CL121" s="1" t="str">
        <v>6.750</v>
      </c>
      <c r="CM121" s="1">
        <v>20</v>
      </c>
      <c r="CO121" s="1">
        <v>2</v>
      </c>
      <c r="CP121" s="1" t="str">
        <v>Maxime_Ca</v>
      </c>
      <c r="CQ121" s="1" t="str">
        <v>8.500</v>
      </c>
      <c r="CR121" s="1">
        <v>4</v>
      </c>
      <c r="CT121" s="1" t="str">
        <v>Gauthier</v>
      </c>
      <c r="CU121" s="1">
        <v>6.67</v>
      </c>
    </row>
    <row r="122" spans="1:99" x14ac:dyDescent="0.3">
      <c r="A122" s="1" t="s">
        <v>24</v>
      </c>
      <c r="B122" s="1">
        <v>76</v>
      </c>
      <c r="C122" s="1">
        <v>-9</v>
      </c>
      <c r="D122" s="1">
        <v>4</v>
      </c>
      <c r="E122" s="1">
        <v>39</v>
      </c>
      <c r="F122" s="1">
        <v>4</v>
      </c>
      <c r="G122" s="1">
        <v>45</v>
      </c>
      <c r="H122" s="1">
        <v>4</v>
      </c>
      <c r="AI122" s="1">
        <v>-3</v>
      </c>
      <c r="AJ122" s="1">
        <v>4</v>
      </c>
      <c r="CG122" s="4"/>
      <c r="CH122" s="1" t="s">
        <v>32</v>
      </c>
      <c r="CJ122" s="1">
        <v>3</v>
      </c>
      <c r="CK122" s="1" t="str">
        <v>Gauthier</v>
      </c>
      <c r="CL122" s="1" t="str">
        <v>6.670</v>
      </c>
      <c r="CM122" s="1">
        <v>100</v>
      </c>
      <c r="CO122" s="1">
        <v>3</v>
      </c>
      <c r="CP122" s="1" t="str">
        <v>Pascale</v>
      </c>
      <c r="CQ122" s="1" t="str">
        <v>7.118</v>
      </c>
      <c r="CR122" s="1">
        <v>17</v>
      </c>
      <c r="CT122" s="1" t="str">
        <v>Célian</v>
      </c>
      <c r="CU122" s="1">
        <v>6.3260340632603409</v>
      </c>
    </row>
    <row r="123" spans="1:99" x14ac:dyDescent="0.3">
      <c r="A123" s="1" t="s">
        <v>22</v>
      </c>
      <c r="B123" s="1">
        <v>75</v>
      </c>
      <c r="C123" s="1">
        <v>20</v>
      </c>
      <c r="D123" s="1">
        <v>4</v>
      </c>
      <c r="G123" s="1">
        <v>58</v>
      </c>
      <c r="H123" s="1">
        <v>4</v>
      </c>
      <c r="U123" s="1">
        <v>-30</v>
      </c>
      <c r="V123" s="1">
        <v>4</v>
      </c>
      <c r="AU123" s="1">
        <v>34</v>
      </c>
      <c r="AV123" s="1">
        <v>4</v>
      </c>
      <c r="CJ123" s="1">
        <v>4</v>
      </c>
      <c r="CK123" s="1" t="str">
        <v>Célian</v>
      </c>
      <c r="CL123" s="1" t="str">
        <v>6.326</v>
      </c>
      <c r="CM123" s="1">
        <v>411</v>
      </c>
      <c r="CO123" s="1">
        <v>4</v>
      </c>
      <c r="CP123" s="1" t="str">
        <v>Harrison</v>
      </c>
      <c r="CQ123" s="1" t="str">
        <v>5.400</v>
      </c>
      <c r="CR123" s="1">
        <v>5</v>
      </c>
      <c r="CT123" s="1" t="str">
        <v>William</v>
      </c>
      <c r="CU123" s="1">
        <v>6.068965517241379</v>
      </c>
    </row>
    <row r="124" spans="1:99" x14ac:dyDescent="0.3">
      <c r="A124" s="1" t="s">
        <v>7</v>
      </c>
      <c r="B124" s="1">
        <v>74</v>
      </c>
      <c r="C124" s="1">
        <v>27</v>
      </c>
      <c r="D124" s="1">
        <v>4</v>
      </c>
      <c r="G124" s="1">
        <v>13</v>
      </c>
      <c r="H124" s="1">
        <v>4</v>
      </c>
      <c r="M124" s="1">
        <v>29</v>
      </c>
      <c r="N124" s="1">
        <v>4</v>
      </c>
      <c r="U124" s="1">
        <v>21</v>
      </c>
      <c r="V124" s="1">
        <v>4</v>
      </c>
      <c r="CG124" s="5"/>
      <c r="CH124" s="1" t="s">
        <v>9</v>
      </c>
      <c r="CJ124" s="1">
        <v>5</v>
      </c>
      <c r="CK124" s="1" t="str">
        <v>William</v>
      </c>
      <c r="CL124" s="1" t="str">
        <v>6.069</v>
      </c>
      <c r="CM124" s="1">
        <v>29</v>
      </c>
      <c r="CO124" s="1">
        <v>5</v>
      </c>
      <c r="CP124" s="1" t="str">
        <v>Aurélien</v>
      </c>
      <c r="CQ124" s="1" t="str">
        <v>2.800</v>
      </c>
      <c r="CR124" s="1">
        <v>5</v>
      </c>
      <c r="CT124" s="1" t="str">
        <v>Tom</v>
      </c>
      <c r="CU124" s="1">
        <v>5.9383753501400562</v>
      </c>
    </row>
    <row r="125" spans="1:99" x14ac:dyDescent="0.3">
      <c r="A125" s="1" t="s">
        <v>7</v>
      </c>
      <c r="B125" s="1">
        <v>73</v>
      </c>
      <c r="C125" s="1">
        <v>92</v>
      </c>
      <c r="D125" s="1">
        <v>7</v>
      </c>
      <c r="G125" s="1">
        <v>27</v>
      </c>
      <c r="H125" s="1">
        <v>7</v>
      </c>
      <c r="U125" s="1">
        <v>-5</v>
      </c>
      <c r="V125" s="1">
        <v>7</v>
      </c>
      <c r="AA125" s="1">
        <v>43</v>
      </c>
      <c r="AB125" s="1">
        <v>7</v>
      </c>
      <c r="CG125" s="10"/>
      <c r="CH125" s="1" t="s">
        <v>12</v>
      </c>
      <c r="CJ125" s="1">
        <v>6</v>
      </c>
      <c r="CK125" s="1" t="str">
        <v>Tom</v>
      </c>
      <c r="CL125" s="1" t="str">
        <v>5.938</v>
      </c>
      <c r="CM125" s="1">
        <v>357</v>
      </c>
      <c r="CO125" s="1">
        <v>6</v>
      </c>
      <c r="CP125" s="1" t="str">
        <v>Maxime_Go</v>
      </c>
      <c r="CQ125" s="1" t="str">
        <v>0.727</v>
      </c>
      <c r="CR125" s="1">
        <v>11</v>
      </c>
      <c r="CT125" s="1" t="str">
        <v>Samuel</v>
      </c>
      <c r="CU125" s="1">
        <v>5.9099526066350707</v>
      </c>
    </row>
    <row r="126" spans="1:99" x14ac:dyDescent="0.3">
      <c r="A126" s="1" t="s">
        <v>7</v>
      </c>
      <c r="B126" s="1">
        <v>72</v>
      </c>
      <c r="C126" s="1">
        <v>11</v>
      </c>
      <c r="D126" s="1">
        <v>1</v>
      </c>
      <c r="G126" s="1">
        <v>11</v>
      </c>
      <c r="H126" s="1">
        <v>1</v>
      </c>
      <c r="M126" s="1">
        <v>-11</v>
      </c>
      <c r="N126" s="1">
        <v>1</v>
      </c>
      <c r="U126" s="1">
        <v>-11</v>
      </c>
      <c r="V126" s="1">
        <v>1</v>
      </c>
      <c r="CG126" s="6"/>
      <c r="CH126" s="1" t="s">
        <v>11</v>
      </c>
      <c r="CJ126" s="1">
        <v>7</v>
      </c>
      <c r="CK126" s="1" t="str">
        <v>Samuel</v>
      </c>
      <c r="CL126" s="1" t="str">
        <v>5.910</v>
      </c>
      <c r="CM126" s="1">
        <v>211</v>
      </c>
      <c r="CO126" s="1">
        <v>7</v>
      </c>
      <c r="CP126" s="1" t="str">
        <v>Robin</v>
      </c>
      <c r="CQ126" s="1" t="str">
        <v>-0.083</v>
      </c>
      <c r="CR126" s="1">
        <v>12</v>
      </c>
      <c r="CT126" s="1" t="str">
        <v>Joachim</v>
      </c>
      <c r="CU126" s="1">
        <v>5.8899082568807337</v>
      </c>
    </row>
    <row r="127" spans="1:99" x14ac:dyDescent="0.3">
      <c r="A127" s="1" t="s">
        <v>7</v>
      </c>
      <c r="B127" s="1">
        <v>71</v>
      </c>
      <c r="C127" s="1">
        <v>31</v>
      </c>
      <c r="D127" s="1">
        <v>5</v>
      </c>
      <c r="G127" s="1">
        <v>25</v>
      </c>
      <c r="H127" s="1">
        <v>5</v>
      </c>
      <c r="U127" s="1">
        <v>41</v>
      </c>
      <c r="V127" s="1">
        <v>5</v>
      </c>
      <c r="AW127" s="1">
        <v>14</v>
      </c>
      <c r="AX127" s="1">
        <v>5</v>
      </c>
      <c r="CJ127" s="1">
        <v>8</v>
      </c>
      <c r="CK127" s="1" t="str">
        <v>Joachim</v>
      </c>
      <c r="CL127" s="1" t="str">
        <v>5.890</v>
      </c>
      <c r="CM127" s="1">
        <v>109</v>
      </c>
      <c r="CT127" s="1" t="str">
        <v>Mehdi</v>
      </c>
      <c r="CU127" s="1">
        <v>5.5945945945945947</v>
      </c>
    </row>
    <row r="128" spans="1:99" x14ac:dyDescent="0.3">
      <c r="A128" s="15" t="s">
        <v>7</v>
      </c>
      <c r="B128" s="15">
        <v>70</v>
      </c>
      <c r="C128" s="15">
        <v>79</v>
      </c>
      <c r="D128" s="15">
        <v>16</v>
      </c>
      <c r="E128" s="15">
        <v>99</v>
      </c>
      <c r="F128" s="15">
        <v>16</v>
      </c>
      <c r="G128" s="15">
        <v>139</v>
      </c>
      <c r="H128" s="15">
        <v>16</v>
      </c>
      <c r="I128" s="15"/>
      <c r="J128" s="15"/>
      <c r="K128" s="15"/>
      <c r="L128" s="15"/>
      <c r="M128" s="15">
        <v>4</v>
      </c>
      <c r="N128" s="15">
        <v>4</v>
      </c>
      <c r="O128" s="15"/>
      <c r="P128" s="15"/>
      <c r="Q128" s="15"/>
      <c r="R128" s="15"/>
      <c r="S128" s="15"/>
      <c r="T128" s="15"/>
      <c r="U128" s="15"/>
      <c r="V128" s="15"/>
      <c r="W128" s="15">
        <v>-9</v>
      </c>
      <c r="X128" s="15">
        <v>16</v>
      </c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G128" s="7"/>
      <c r="CH128" s="1" t="s">
        <v>14</v>
      </c>
      <c r="CJ128" s="1">
        <v>9</v>
      </c>
      <c r="CK128" s="1" t="str">
        <v>Mehdi</v>
      </c>
      <c r="CL128" s="1" t="str">
        <v>5.595</v>
      </c>
      <c r="CM128" s="1">
        <v>444</v>
      </c>
      <c r="CT128" s="1" t="str">
        <v>Jules</v>
      </c>
      <c r="CU128" s="1">
        <v>5.4590643274853798</v>
      </c>
    </row>
    <row r="129" spans="1:99" x14ac:dyDescent="0.3">
      <c r="A129" s="15" t="s">
        <v>7</v>
      </c>
      <c r="B129" s="15">
        <v>69</v>
      </c>
      <c r="C129" s="15">
        <v>80</v>
      </c>
      <c r="D129" s="15">
        <v>12</v>
      </c>
      <c r="E129" s="15">
        <v>97</v>
      </c>
      <c r="F129" s="15">
        <v>12</v>
      </c>
      <c r="G129" s="15">
        <v>43</v>
      </c>
      <c r="H129" s="15">
        <v>12</v>
      </c>
      <c r="I129" s="15"/>
      <c r="J129" s="15"/>
      <c r="K129" s="15"/>
      <c r="L129" s="15"/>
      <c r="M129" s="15">
        <v>59</v>
      </c>
      <c r="N129" s="15">
        <v>12</v>
      </c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G129" s="8"/>
      <c r="CH129" s="1" t="s">
        <v>13</v>
      </c>
      <c r="CJ129" s="1">
        <v>10</v>
      </c>
      <c r="CK129" s="1" t="str">
        <v>ethan</v>
      </c>
      <c r="CL129" s="1" t="str">
        <v>5.500</v>
      </c>
      <c r="CM129" s="1">
        <v>22</v>
      </c>
      <c r="CT129" s="1" t="str">
        <v>Achille</v>
      </c>
      <c r="CU129" s="1">
        <v>5.4508875739644971</v>
      </c>
    </row>
    <row r="130" spans="1:99" x14ac:dyDescent="0.3">
      <c r="A130" s="15" t="s">
        <v>7</v>
      </c>
      <c r="B130" s="15">
        <v>68</v>
      </c>
      <c r="C130" s="15">
        <v>50</v>
      </c>
      <c r="D130" s="15">
        <v>8</v>
      </c>
      <c r="E130" s="15">
        <v>39</v>
      </c>
      <c r="F130" s="15">
        <v>8</v>
      </c>
      <c r="G130" s="15">
        <v>64</v>
      </c>
      <c r="H130" s="15">
        <v>8</v>
      </c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>
        <v>6</v>
      </c>
      <c r="T130" s="15">
        <v>8</v>
      </c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G130" s="9"/>
      <c r="CH130" s="1" t="s">
        <v>10</v>
      </c>
      <c r="CJ130" s="1">
        <v>11</v>
      </c>
      <c r="CK130" s="1" t="str">
        <v>Jules</v>
      </c>
      <c r="CL130" s="1" t="str">
        <v>5.459</v>
      </c>
      <c r="CM130" s="1">
        <v>342</v>
      </c>
      <c r="CT130" s="1" t="str">
        <v>Damien</v>
      </c>
      <c r="CU130" s="1">
        <v>5.3955223880597014</v>
      </c>
    </row>
    <row r="131" spans="1:99" x14ac:dyDescent="0.3">
      <c r="A131" s="15" t="s">
        <v>7</v>
      </c>
      <c r="B131" s="15">
        <v>67</v>
      </c>
      <c r="C131" s="15">
        <v>19</v>
      </c>
      <c r="D131" s="15">
        <v>3</v>
      </c>
      <c r="E131" s="15"/>
      <c r="F131" s="15"/>
      <c r="G131" s="15">
        <v>8</v>
      </c>
      <c r="H131" s="15">
        <v>3</v>
      </c>
      <c r="I131" s="15">
        <v>19</v>
      </c>
      <c r="J131" s="15">
        <v>3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>
        <v>8</v>
      </c>
      <c r="AT131" s="15">
        <v>3</v>
      </c>
      <c r="AU131" s="15"/>
      <c r="AV131" s="15"/>
      <c r="AW131" s="15"/>
      <c r="AX131" s="15"/>
      <c r="AY131" s="15"/>
      <c r="CJ131" s="1">
        <v>12</v>
      </c>
      <c r="CK131" s="1" t="str">
        <v>Achille</v>
      </c>
      <c r="CL131" s="1" t="str">
        <v>5.451</v>
      </c>
      <c r="CM131" s="1">
        <v>845</v>
      </c>
      <c r="CT131" s="1" t="str">
        <v>Joey</v>
      </c>
      <c r="CU131" s="1">
        <v>5.191919191919192</v>
      </c>
    </row>
    <row r="132" spans="1:99" x14ac:dyDescent="0.3">
      <c r="A132" s="15" t="s">
        <v>7</v>
      </c>
      <c r="B132" s="15">
        <v>66</v>
      </c>
      <c r="C132" s="15">
        <v>13</v>
      </c>
      <c r="D132" s="15">
        <v>3</v>
      </c>
      <c r="E132" s="15"/>
      <c r="F132" s="15"/>
      <c r="G132" s="15">
        <v>54</v>
      </c>
      <c r="H132" s="15">
        <v>3</v>
      </c>
      <c r="I132" s="15">
        <v>0</v>
      </c>
      <c r="J132" s="15">
        <v>1</v>
      </c>
      <c r="K132" s="15"/>
      <c r="L132" s="15"/>
      <c r="M132" s="15">
        <v>17</v>
      </c>
      <c r="N132" s="15">
        <v>3</v>
      </c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>
        <v>0</v>
      </c>
      <c r="AF132" s="15">
        <v>2</v>
      </c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CG132" s="1" t="s">
        <v>1</v>
      </c>
      <c r="CH132" s="1">
        <f>AVERAGE(C1:CD1)</f>
        <v>5.1890610672104733</v>
      </c>
      <c r="CJ132" s="1">
        <v>13</v>
      </c>
      <c r="CK132" s="1" t="str">
        <v>Bruno</v>
      </c>
      <c r="CL132" s="1" t="str">
        <v>5.400</v>
      </c>
      <c r="CM132" s="1">
        <v>20</v>
      </c>
      <c r="CT132" s="1" t="str">
        <v>Marie</v>
      </c>
      <c r="CU132" s="1">
        <v>4.8478260869565215</v>
      </c>
    </row>
    <row r="133" spans="1:99" x14ac:dyDescent="0.3">
      <c r="A133" s="15" t="s">
        <v>7</v>
      </c>
      <c r="B133" s="15">
        <v>65</v>
      </c>
      <c r="C133" s="15"/>
      <c r="D133" s="15"/>
      <c r="E133" s="15"/>
      <c r="F133" s="15"/>
      <c r="G133" s="15">
        <v>70</v>
      </c>
      <c r="H133" s="15">
        <v>8</v>
      </c>
      <c r="I133" s="15">
        <v>-9</v>
      </c>
      <c r="J133" s="15">
        <v>8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>
        <v>81</v>
      </c>
      <c r="V133" s="15">
        <v>8</v>
      </c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>
        <v>0</v>
      </c>
      <c r="AT133" s="15">
        <v>8</v>
      </c>
      <c r="AU133" s="15"/>
      <c r="AV133" s="15"/>
      <c r="AW133" s="15"/>
      <c r="AX133" s="15"/>
      <c r="AY133" s="15"/>
      <c r="CJ133" s="1">
        <v>14</v>
      </c>
      <c r="CK133" s="1" t="str">
        <v>Damien</v>
      </c>
      <c r="CL133" s="1" t="str">
        <v>5.396</v>
      </c>
      <c r="CM133" s="1">
        <v>804</v>
      </c>
      <c r="CT133" s="1" t="str">
        <v>Paul</v>
      </c>
      <c r="CU133" s="1">
        <v>4.8125</v>
      </c>
    </row>
    <row r="134" spans="1:99" x14ac:dyDescent="0.3">
      <c r="A134" s="15" t="s">
        <v>23</v>
      </c>
      <c r="B134" s="15">
        <v>64</v>
      </c>
      <c r="C134" s="15">
        <v>38</v>
      </c>
      <c r="D134" s="15">
        <v>7</v>
      </c>
      <c r="E134" s="15">
        <v>96</v>
      </c>
      <c r="F134" s="15">
        <v>8</v>
      </c>
      <c r="G134" s="15">
        <v>38</v>
      </c>
      <c r="H134" s="15">
        <v>8</v>
      </c>
      <c r="I134" s="15">
        <v>25</v>
      </c>
      <c r="J134" s="15">
        <v>8</v>
      </c>
      <c r="K134" s="15"/>
      <c r="L134" s="15"/>
      <c r="M134" s="15"/>
      <c r="N134" s="15"/>
      <c r="O134" s="15"/>
      <c r="P134" s="15"/>
      <c r="Q134" s="15">
        <v>25</v>
      </c>
      <c r="R134" s="15">
        <v>5</v>
      </c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J134" s="1">
        <v>15</v>
      </c>
      <c r="CK134" s="1" t="str">
        <v>gaspard</v>
      </c>
      <c r="CL134" s="1" t="str">
        <v>5.342</v>
      </c>
      <c r="CM134" s="1">
        <v>76</v>
      </c>
      <c r="CT134" s="1" t="str">
        <v>Lou</v>
      </c>
      <c r="CU134" s="1">
        <v>4.6010638297872344</v>
      </c>
    </row>
    <row r="135" spans="1:99" x14ac:dyDescent="0.3">
      <c r="A135" s="15" t="s">
        <v>23</v>
      </c>
      <c r="B135" s="15">
        <v>63</v>
      </c>
      <c r="C135" s="15">
        <v>13</v>
      </c>
      <c r="D135" s="15">
        <v>1</v>
      </c>
      <c r="E135" s="15"/>
      <c r="F135" s="15"/>
      <c r="G135" s="15"/>
      <c r="H135" s="15"/>
      <c r="I135" s="15">
        <v>0</v>
      </c>
      <c r="J135" s="15">
        <v>1</v>
      </c>
      <c r="K135" s="15"/>
      <c r="L135" s="15"/>
      <c r="M135" s="15"/>
      <c r="N135" s="15"/>
      <c r="O135" s="15"/>
      <c r="P135" s="15"/>
      <c r="Q135" s="15">
        <v>13</v>
      </c>
      <c r="R135" s="15">
        <v>1</v>
      </c>
      <c r="S135" s="15"/>
      <c r="T135" s="15"/>
      <c r="U135" s="15"/>
      <c r="V135" s="15"/>
      <c r="W135" s="15">
        <v>0</v>
      </c>
      <c r="X135" s="15">
        <v>1</v>
      </c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H135" s="1" t="s">
        <v>15</v>
      </c>
      <c r="CJ135" s="1">
        <v>16</v>
      </c>
      <c r="CK135" s="1" t="str">
        <v>Hugo</v>
      </c>
      <c r="CL135" s="1" t="str">
        <v>5.225</v>
      </c>
      <c r="CM135" s="1">
        <v>40</v>
      </c>
      <c r="CT135" s="1" t="str">
        <v>Émile</v>
      </c>
      <c r="CU135" s="1">
        <v>4.5</v>
      </c>
    </row>
    <row r="136" spans="1:99" x14ac:dyDescent="0.3">
      <c r="A136" s="15" t="s">
        <v>7</v>
      </c>
      <c r="B136" s="15">
        <v>62</v>
      </c>
      <c r="C136" s="15">
        <v>118</v>
      </c>
      <c r="D136" s="15">
        <v>24</v>
      </c>
      <c r="E136" s="15">
        <v>103</v>
      </c>
      <c r="F136" s="15">
        <v>24</v>
      </c>
      <c r="G136" s="15">
        <v>102</v>
      </c>
      <c r="H136" s="15">
        <v>24</v>
      </c>
      <c r="I136" s="15">
        <v>0</v>
      </c>
      <c r="J136" s="15">
        <v>4</v>
      </c>
      <c r="K136" s="15"/>
      <c r="L136" s="15"/>
      <c r="M136" s="15"/>
      <c r="N136" s="15"/>
      <c r="O136" s="15">
        <v>225</v>
      </c>
      <c r="P136" s="15">
        <v>23</v>
      </c>
      <c r="Q136" s="15"/>
      <c r="R136" s="15"/>
      <c r="S136" s="15"/>
      <c r="T136" s="15"/>
      <c r="U136" s="15"/>
      <c r="V136" s="15"/>
      <c r="W136" s="15">
        <v>11</v>
      </c>
      <c r="X136" s="15">
        <v>1</v>
      </c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G136" s="11"/>
      <c r="CH136" s="1" t="s">
        <v>38</v>
      </c>
      <c r="CJ136" s="1">
        <v>17</v>
      </c>
      <c r="CK136" s="1" t="str">
        <v>Joey</v>
      </c>
      <c r="CL136" s="1" t="str">
        <v>5.192</v>
      </c>
      <c r="CM136" s="1">
        <v>99</v>
      </c>
      <c r="CT136" s="1" t="str">
        <v>Stanislas</v>
      </c>
      <c r="CU136" s="1">
        <v>4.4814814814814818</v>
      </c>
    </row>
    <row r="137" spans="1:99" x14ac:dyDescent="0.3">
      <c r="A137" s="15" t="s">
        <v>7</v>
      </c>
      <c r="B137" s="15">
        <v>61</v>
      </c>
      <c r="C137" s="15"/>
      <c r="D137" s="15"/>
      <c r="E137" s="15">
        <v>11</v>
      </c>
      <c r="F137" s="15">
        <v>4</v>
      </c>
      <c r="G137" s="15"/>
      <c r="H137" s="15"/>
      <c r="I137" s="15"/>
      <c r="J137" s="15"/>
      <c r="K137" s="15"/>
      <c r="L137" s="15"/>
      <c r="M137" s="15">
        <v>46</v>
      </c>
      <c r="N137" s="15">
        <v>4</v>
      </c>
      <c r="O137" s="15">
        <v>45</v>
      </c>
      <c r="P137" s="15">
        <v>4</v>
      </c>
      <c r="Q137" s="15">
        <v>0</v>
      </c>
      <c r="R137" s="15">
        <v>4</v>
      </c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G137" s="14"/>
      <c r="CH137" s="1" t="s">
        <v>17</v>
      </c>
      <c r="CJ137" s="1">
        <v>18</v>
      </c>
      <c r="CK137" s="1" t="str">
        <v>Marie</v>
      </c>
      <c r="CL137" s="1" t="str">
        <v>4.848</v>
      </c>
      <c r="CM137" s="1">
        <v>345</v>
      </c>
      <c r="CT137" s="1" t="str">
        <v>Quentin</v>
      </c>
      <c r="CU137" s="1">
        <v>4.096774193548387</v>
      </c>
    </row>
    <row r="138" spans="1:99" x14ac:dyDescent="0.3">
      <c r="A138" s="15" t="s">
        <v>7</v>
      </c>
      <c r="B138" s="15">
        <v>60</v>
      </c>
      <c r="C138" s="15">
        <v>106</v>
      </c>
      <c r="D138" s="15">
        <v>12</v>
      </c>
      <c r="E138" s="15"/>
      <c r="F138" s="15"/>
      <c r="G138" s="15">
        <v>88</v>
      </c>
      <c r="H138" s="15">
        <v>12</v>
      </c>
      <c r="I138" s="15"/>
      <c r="J138" s="15"/>
      <c r="K138" s="15"/>
      <c r="L138" s="15"/>
      <c r="M138" s="15">
        <v>31</v>
      </c>
      <c r="N138" s="15">
        <v>12</v>
      </c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>
        <v>8</v>
      </c>
      <c r="AD138" s="15">
        <v>4</v>
      </c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>
        <v>-1</v>
      </c>
      <c r="AP138" s="15">
        <v>12</v>
      </c>
      <c r="AQ138" s="15"/>
      <c r="AR138" s="15"/>
      <c r="AS138" s="15"/>
      <c r="AT138" s="15"/>
      <c r="AU138" s="15"/>
      <c r="AV138" s="15"/>
      <c r="AW138" s="15"/>
      <c r="AX138" s="15"/>
      <c r="AY138" s="15"/>
      <c r="CG138" s="13"/>
      <c r="CH138" s="1" t="s">
        <v>18</v>
      </c>
      <c r="CJ138" s="1">
        <v>19</v>
      </c>
      <c r="CK138" s="1" t="str">
        <v>Paul</v>
      </c>
      <c r="CL138" s="1" t="str">
        <v>4.813</v>
      </c>
      <c r="CM138" s="1">
        <v>32</v>
      </c>
      <c r="CT138" s="1" t="str">
        <v>Fantinne</v>
      </c>
      <c r="CU138" s="1">
        <v>3.6440677966101696</v>
      </c>
    </row>
    <row r="139" spans="1:99" x14ac:dyDescent="0.3">
      <c r="A139" s="15" t="s">
        <v>7</v>
      </c>
      <c r="B139" s="15">
        <v>59</v>
      </c>
      <c r="C139" s="15"/>
      <c r="D139" s="15"/>
      <c r="E139" s="15">
        <v>129</v>
      </c>
      <c r="F139" s="15">
        <v>10</v>
      </c>
      <c r="G139" s="15"/>
      <c r="H139" s="15"/>
      <c r="I139" s="15">
        <v>17</v>
      </c>
      <c r="J139" s="15">
        <v>10</v>
      </c>
      <c r="K139" s="15">
        <v>-41</v>
      </c>
      <c r="L139" s="15">
        <v>10</v>
      </c>
      <c r="M139" s="15">
        <v>62</v>
      </c>
      <c r="N139" s="15">
        <v>10</v>
      </c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CG139" s="12"/>
      <c r="CH139" s="1" t="s">
        <v>16</v>
      </c>
      <c r="CJ139" s="1">
        <v>20</v>
      </c>
      <c r="CK139" s="1" t="str">
        <v>Lou</v>
      </c>
      <c r="CL139" s="1" t="str">
        <v>4.601</v>
      </c>
      <c r="CM139" s="1">
        <v>188</v>
      </c>
      <c r="CT139" s="1" t="str">
        <v>Luca</v>
      </c>
      <c r="CU139" s="1">
        <v>3.2315789473684209</v>
      </c>
    </row>
    <row r="140" spans="1:99" x14ac:dyDescent="0.3">
      <c r="A140" s="15" t="s">
        <v>7</v>
      </c>
      <c r="B140" s="15">
        <v>58</v>
      </c>
      <c r="C140" s="15"/>
      <c r="D140" s="15"/>
      <c r="E140" s="15">
        <v>49</v>
      </c>
      <c r="F140" s="15">
        <v>14</v>
      </c>
      <c r="G140" s="15">
        <v>60</v>
      </c>
      <c r="H140" s="15">
        <v>14</v>
      </c>
      <c r="I140" s="15">
        <v>94</v>
      </c>
      <c r="J140" s="15">
        <v>14</v>
      </c>
      <c r="K140" s="15"/>
      <c r="L140" s="15"/>
      <c r="M140" s="15"/>
      <c r="N140" s="15"/>
      <c r="O140" s="15"/>
      <c r="P140" s="15"/>
      <c r="Q140" s="15">
        <v>70</v>
      </c>
      <c r="R140" s="15">
        <v>14</v>
      </c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J140" s="1">
        <v>21</v>
      </c>
      <c r="CK140" s="1" t="str">
        <v>Émile</v>
      </c>
      <c r="CL140" s="1" t="str">
        <v>4.500</v>
      </c>
      <c r="CM140" s="1">
        <v>28</v>
      </c>
      <c r="CT140" s="1" t="str">
        <v>Loulou</v>
      </c>
      <c r="CU140" s="1">
        <v>3.1782178217821784</v>
      </c>
    </row>
    <row r="141" spans="1:99" x14ac:dyDescent="0.3">
      <c r="A141" s="15" t="s">
        <v>7</v>
      </c>
      <c r="B141" s="15">
        <v>57</v>
      </c>
      <c r="C141" s="15"/>
      <c r="D141" s="15"/>
      <c r="E141" s="15">
        <v>67</v>
      </c>
      <c r="F141" s="15">
        <v>4</v>
      </c>
      <c r="G141" s="15">
        <v>36</v>
      </c>
      <c r="H141" s="15">
        <v>4</v>
      </c>
      <c r="I141" s="15">
        <v>16</v>
      </c>
      <c r="J141" s="15">
        <v>2</v>
      </c>
      <c r="K141" s="15"/>
      <c r="L141" s="15"/>
      <c r="M141" s="15">
        <v>-24</v>
      </c>
      <c r="N141" s="15">
        <v>3</v>
      </c>
      <c r="O141" s="15"/>
      <c r="P141" s="15"/>
      <c r="Q141" s="15">
        <v>31</v>
      </c>
      <c r="R141" s="15">
        <v>3</v>
      </c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J141" s="1">
        <v>22</v>
      </c>
      <c r="CK141" s="1" t="str">
        <v>Stanislas</v>
      </c>
      <c r="CL141" s="1" t="str">
        <v>4.481</v>
      </c>
      <c r="CM141" s="1">
        <v>27</v>
      </c>
      <c r="CT141" s="1" t="str">
        <v>Harrison</v>
      </c>
      <c r="CU141" s="1" t="str">
        <v>/</v>
      </c>
    </row>
    <row r="142" spans="1:99" x14ac:dyDescent="0.3">
      <c r="A142" s="15" t="s">
        <v>7</v>
      </c>
      <c r="B142" s="15">
        <v>56</v>
      </c>
      <c r="C142" s="15"/>
      <c r="D142" s="15"/>
      <c r="E142" s="15"/>
      <c r="F142" s="15"/>
      <c r="G142" s="15">
        <v>66</v>
      </c>
      <c r="H142" s="15">
        <v>8</v>
      </c>
      <c r="I142" s="15"/>
      <c r="J142" s="15"/>
      <c r="K142" s="15"/>
      <c r="L142" s="15"/>
      <c r="M142" s="15">
        <v>50</v>
      </c>
      <c r="N142" s="15">
        <v>8</v>
      </c>
      <c r="O142" s="15"/>
      <c r="P142" s="15"/>
      <c r="Q142" s="15">
        <v>73</v>
      </c>
      <c r="R142" s="15">
        <v>8</v>
      </c>
      <c r="S142" s="15">
        <v>27</v>
      </c>
      <c r="T142" s="15">
        <v>8</v>
      </c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>
        <v>21</v>
      </c>
      <c r="AN142" s="15">
        <v>8</v>
      </c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J142" s="1">
        <v>23</v>
      </c>
      <c r="CK142" s="1" t="str">
        <v>Quentin</v>
      </c>
      <c r="CL142" s="1" t="str">
        <v>4.097</v>
      </c>
      <c r="CM142" s="1">
        <v>93</v>
      </c>
      <c r="CT142" s="1" t="str">
        <v>Pascale</v>
      </c>
      <c r="CU142" s="1" t="str">
        <v>/</v>
      </c>
    </row>
    <row r="143" spans="1:99" x14ac:dyDescent="0.3">
      <c r="A143" s="15" t="s">
        <v>25</v>
      </c>
      <c r="B143" s="15" t="s">
        <v>26</v>
      </c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J143" s="1">
        <v>24</v>
      </c>
      <c r="CK143" s="1" t="str">
        <v>Fantinne</v>
      </c>
      <c r="CL143" s="1" t="str">
        <v>3.644</v>
      </c>
      <c r="CM143" s="1">
        <v>59</v>
      </c>
      <c r="CT143" s="1" t="str">
        <v>Robin</v>
      </c>
      <c r="CU143" s="1" t="str">
        <v>/</v>
      </c>
    </row>
    <row r="144" spans="1:99" x14ac:dyDescent="0.3">
      <c r="A144" s="15" t="s">
        <v>7</v>
      </c>
      <c r="B144" s="15">
        <v>55</v>
      </c>
      <c r="C144" s="15">
        <v>100</v>
      </c>
      <c r="D144" s="15">
        <v>16</v>
      </c>
      <c r="E144" s="15"/>
      <c r="F144" s="15"/>
      <c r="G144" s="15">
        <v>188</v>
      </c>
      <c r="H144" s="15">
        <v>16</v>
      </c>
      <c r="I144" s="15"/>
      <c r="J144" s="15"/>
      <c r="K144" s="15"/>
      <c r="L144" s="15"/>
      <c r="M144" s="15">
        <v>34</v>
      </c>
      <c r="N144" s="15">
        <v>16</v>
      </c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>
        <v>60</v>
      </c>
      <c r="AR144" s="15">
        <v>16</v>
      </c>
      <c r="AS144" s="15"/>
      <c r="AT144" s="15"/>
      <c r="AU144" s="15"/>
      <c r="AV144" s="15"/>
      <c r="AW144" s="15"/>
      <c r="AX144" s="15"/>
      <c r="AY144" s="15"/>
      <c r="CJ144" s="1">
        <v>25</v>
      </c>
      <c r="CK144" s="1" t="str">
        <v>Thomas</v>
      </c>
      <c r="CL144" s="1" t="str">
        <v>3.357</v>
      </c>
      <c r="CM144" s="1">
        <v>28</v>
      </c>
      <c r="CT144" s="1" t="str">
        <v>Maxime_Go</v>
      </c>
      <c r="CU144" s="1" t="str">
        <v>/</v>
      </c>
    </row>
    <row r="145" spans="1:101" x14ac:dyDescent="0.3">
      <c r="A145" s="15" t="s">
        <v>7</v>
      </c>
      <c r="B145" s="15">
        <v>54</v>
      </c>
      <c r="C145" s="15">
        <v>23</v>
      </c>
      <c r="D145" s="15">
        <v>5</v>
      </c>
      <c r="E145" s="15">
        <v>29</v>
      </c>
      <c r="F145" s="15">
        <v>6</v>
      </c>
      <c r="G145" s="15">
        <v>25</v>
      </c>
      <c r="H145" s="15">
        <v>5</v>
      </c>
      <c r="I145" s="15">
        <v>42</v>
      </c>
      <c r="J145" s="15">
        <v>6</v>
      </c>
      <c r="K145" s="15"/>
      <c r="L145" s="15"/>
      <c r="M145" s="15">
        <v>-14</v>
      </c>
      <c r="N145" s="15">
        <v>2</v>
      </c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CJ145" s="1">
        <v>26</v>
      </c>
      <c r="CK145" s="1" t="str">
        <v>Luca</v>
      </c>
      <c r="CL145" s="1" t="str">
        <v>3.232</v>
      </c>
      <c r="CM145" s="1">
        <v>190</v>
      </c>
      <c r="CT145" s="1" t="str">
        <v>Maxime_Ca</v>
      </c>
      <c r="CU145" s="1" t="str">
        <v>/</v>
      </c>
    </row>
    <row r="146" spans="1:101" x14ac:dyDescent="0.3">
      <c r="A146" s="15" t="s">
        <v>7</v>
      </c>
      <c r="B146" s="15">
        <v>53</v>
      </c>
      <c r="C146" s="15">
        <v>45</v>
      </c>
      <c r="D146" s="15">
        <v>8</v>
      </c>
      <c r="E146" s="15"/>
      <c r="F146" s="15"/>
      <c r="G146" s="15">
        <v>68</v>
      </c>
      <c r="H146" s="15">
        <v>8</v>
      </c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>
        <v>-4</v>
      </c>
      <c r="AB146" s="15">
        <v>8</v>
      </c>
      <c r="AC146" s="15"/>
      <c r="AD146" s="15"/>
      <c r="AE146" s="15"/>
      <c r="AF146" s="15"/>
      <c r="AG146" s="15">
        <v>91</v>
      </c>
      <c r="AH146" s="15">
        <v>8</v>
      </c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CJ146" s="1">
        <v>27</v>
      </c>
      <c r="CK146" s="1" t="str">
        <v>Loulou</v>
      </c>
      <c r="CL146" s="1" t="str">
        <v>3.178</v>
      </c>
      <c r="CM146" s="1">
        <v>101</v>
      </c>
      <c r="CT146" s="1" t="str">
        <v>Aurélien</v>
      </c>
      <c r="CU146" s="1" t="str">
        <v>/</v>
      </c>
    </row>
    <row r="147" spans="1:101" x14ac:dyDescent="0.3">
      <c r="A147" s="15" t="s">
        <v>7</v>
      </c>
      <c r="B147" s="15">
        <v>52</v>
      </c>
      <c r="C147" s="15"/>
      <c r="D147" s="15"/>
      <c r="E147" s="15"/>
      <c r="F147" s="15"/>
      <c r="G147" s="15">
        <v>94</v>
      </c>
      <c r="H147" s="15">
        <v>16</v>
      </c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>
        <v>42</v>
      </c>
      <c r="V147" s="15">
        <v>16</v>
      </c>
      <c r="W147" s="15"/>
      <c r="X147" s="15"/>
      <c r="Y147" s="15"/>
      <c r="Z147" s="15"/>
      <c r="AA147" s="15">
        <v>75</v>
      </c>
      <c r="AB147" s="15">
        <v>16</v>
      </c>
      <c r="AC147" s="15"/>
      <c r="AD147" s="15"/>
      <c r="AE147" s="15"/>
      <c r="AF147" s="15"/>
      <c r="AG147" s="15">
        <v>64</v>
      </c>
      <c r="AH147" s="15">
        <v>16</v>
      </c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CT147" s="1" t="str">
        <v>Amélie</v>
      </c>
      <c r="CU147" s="1" t="str">
        <v>/</v>
      </c>
    </row>
    <row r="148" spans="1:101" x14ac:dyDescent="0.3">
      <c r="A148" s="15" t="s">
        <v>7</v>
      </c>
      <c r="B148" s="15">
        <v>51</v>
      </c>
      <c r="C148" s="15">
        <v>37</v>
      </c>
      <c r="D148" s="15">
        <v>14</v>
      </c>
      <c r="E148" s="15"/>
      <c r="F148" s="15"/>
      <c r="G148" s="15">
        <v>105</v>
      </c>
      <c r="H148" s="15">
        <v>14</v>
      </c>
      <c r="I148" s="15"/>
      <c r="J148" s="15"/>
      <c r="K148" s="15"/>
      <c r="L148" s="15"/>
      <c r="M148" s="15">
        <v>84</v>
      </c>
      <c r="N148" s="15">
        <v>14</v>
      </c>
      <c r="O148" s="15"/>
      <c r="P148" s="15"/>
      <c r="Q148" s="15"/>
      <c r="R148" s="15"/>
      <c r="S148" s="15">
        <v>91</v>
      </c>
      <c r="T148" s="15">
        <v>14</v>
      </c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</row>
    <row r="149" spans="1:101" x14ac:dyDescent="0.3">
      <c r="A149" s="15" t="s">
        <v>7</v>
      </c>
      <c r="B149" s="15">
        <v>50</v>
      </c>
      <c r="C149" s="15">
        <v>32</v>
      </c>
      <c r="D149" s="15">
        <v>7</v>
      </c>
      <c r="E149" s="15"/>
      <c r="F149" s="15"/>
      <c r="G149" s="15">
        <v>50</v>
      </c>
      <c r="H149" s="15">
        <v>7</v>
      </c>
      <c r="I149" s="15"/>
      <c r="J149" s="15"/>
      <c r="K149" s="15"/>
      <c r="L149" s="15"/>
      <c r="M149" s="15">
        <v>40</v>
      </c>
      <c r="N149" s="15">
        <v>7</v>
      </c>
      <c r="O149" s="15"/>
      <c r="P149" s="15"/>
      <c r="Q149" s="15"/>
      <c r="R149" s="15"/>
      <c r="S149" s="15">
        <v>38</v>
      </c>
      <c r="T149" s="15">
        <v>7</v>
      </c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</row>
    <row r="150" spans="1:101" x14ac:dyDescent="0.3">
      <c r="A150" s="15" t="s">
        <v>7</v>
      </c>
      <c r="B150" s="15">
        <v>49</v>
      </c>
      <c r="C150" s="15">
        <v>47</v>
      </c>
      <c r="D150" s="15">
        <v>9</v>
      </c>
      <c r="E150" s="15"/>
      <c r="F150" s="15"/>
      <c r="G150" s="15">
        <v>94</v>
      </c>
      <c r="H150" s="15">
        <v>9</v>
      </c>
      <c r="I150" s="15"/>
      <c r="J150" s="15"/>
      <c r="K150" s="15">
        <v>13</v>
      </c>
      <c r="L150" s="15">
        <v>2</v>
      </c>
      <c r="M150" s="15">
        <v>47</v>
      </c>
      <c r="N150" s="15">
        <v>7</v>
      </c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>
        <v>14</v>
      </c>
      <c r="AB150" s="15">
        <v>9</v>
      </c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</row>
    <row r="151" spans="1:101" x14ac:dyDescent="0.3">
      <c r="A151" s="15" t="s">
        <v>7</v>
      </c>
      <c r="B151" s="15">
        <v>48</v>
      </c>
      <c r="C151" s="15">
        <v>90</v>
      </c>
      <c r="D151" s="15">
        <v>7</v>
      </c>
      <c r="E151" s="15"/>
      <c r="F151" s="15"/>
      <c r="G151" s="15">
        <v>48</v>
      </c>
      <c r="H151" s="15">
        <v>7</v>
      </c>
      <c r="I151" s="15"/>
      <c r="J151" s="15"/>
      <c r="K151" s="15"/>
      <c r="L151" s="15"/>
      <c r="M151" s="15">
        <v>1</v>
      </c>
      <c r="N151" s="15">
        <v>7</v>
      </c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>
        <v>-4</v>
      </c>
      <c r="AB151" s="15">
        <v>7</v>
      </c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</row>
    <row r="152" spans="1:101" x14ac:dyDescent="0.3">
      <c r="A152" s="15" t="s">
        <v>7</v>
      </c>
      <c r="B152" s="15">
        <v>47</v>
      </c>
      <c r="C152" s="15">
        <v>87</v>
      </c>
      <c r="D152" s="15">
        <v>5</v>
      </c>
      <c r="E152" s="15"/>
      <c r="F152" s="15"/>
      <c r="G152" s="15">
        <v>11</v>
      </c>
      <c r="H152" s="15">
        <v>5</v>
      </c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>
        <v>21</v>
      </c>
      <c r="V152" s="15">
        <v>5</v>
      </c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>
        <v>21</v>
      </c>
      <c r="AH152" s="15">
        <v>5</v>
      </c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CT152" s="1" cm="1">
        <f t="array" ref="CT152:CW172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U152" s="1" t="str">
        <v>Boris</v>
      </c>
      <c r="CV152" s="1">
        <v>7.242</v>
      </c>
      <c r="CW152" s="1">
        <v>1260</v>
      </c>
    </row>
    <row r="153" spans="1:101" x14ac:dyDescent="0.3">
      <c r="A153" s="15" t="s">
        <v>7</v>
      </c>
      <c r="B153" s="15">
        <v>46</v>
      </c>
      <c r="C153" s="15">
        <v>29</v>
      </c>
      <c r="D153" s="15">
        <v>12</v>
      </c>
      <c r="E153" s="15"/>
      <c r="F153" s="15"/>
      <c r="G153" s="15">
        <v>78</v>
      </c>
      <c r="H153" s="15">
        <v>13</v>
      </c>
      <c r="I153" s="15"/>
      <c r="J153" s="15"/>
      <c r="K153" s="15">
        <v>93</v>
      </c>
      <c r="L153" s="15">
        <v>12</v>
      </c>
      <c r="M153" s="15">
        <v>32</v>
      </c>
      <c r="N153" s="15">
        <v>11</v>
      </c>
      <c r="O153" s="15"/>
      <c r="P153" s="15"/>
      <c r="Q153" s="15"/>
      <c r="R153" s="15"/>
      <c r="S153" s="15">
        <v>119</v>
      </c>
      <c r="T153" s="15">
        <v>12</v>
      </c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CT153" s="1">
        <v>2</v>
      </c>
      <c r="CU153" s="1" t="str">
        <v>Gauthier</v>
      </c>
      <c r="CV153" s="1">
        <v>6.67</v>
      </c>
      <c r="CW153" s="1">
        <v>100</v>
      </c>
    </row>
    <row r="154" spans="1:101" x14ac:dyDescent="0.3">
      <c r="A154" s="15" t="s">
        <v>7</v>
      </c>
      <c r="B154" s="15">
        <v>45</v>
      </c>
      <c r="C154" s="15">
        <v>102</v>
      </c>
      <c r="D154" s="15">
        <v>16</v>
      </c>
      <c r="E154" s="15"/>
      <c r="F154" s="15"/>
      <c r="G154" s="15">
        <v>138</v>
      </c>
      <c r="H154" s="15">
        <v>16</v>
      </c>
      <c r="I154" s="15"/>
      <c r="J154" s="15"/>
      <c r="K154" s="15">
        <v>51</v>
      </c>
      <c r="L154" s="15">
        <v>8</v>
      </c>
      <c r="M154" s="15">
        <v>5</v>
      </c>
      <c r="N154" s="15">
        <v>8</v>
      </c>
      <c r="O154" s="15"/>
      <c r="P154" s="15"/>
      <c r="Q154" s="15"/>
      <c r="R154" s="15"/>
      <c r="S154" s="15">
        <v>116</v>
      </c>
      <c r="T154" s="15">
        <v>16</v>
      </c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CT154" s="1">
        <v>3</v>
      </c>
      <c r="CU154" s="1" t="str">
        <v>Célian</v>
      </c>
      <c r="CV154" s="1">
        <v>6.3259999999999996</v>
      </c>
      <c r="CW154" s="1">
        <v>411</v>
      </c>
    </row>
    <row r="155" spans="1:101" x14ac:dyDescent="0.3">
      <c r="A155" s="15" t="s">
        <v>7</v>
      </c>
      <c r="B155" s="15">
        <v>44</v>
      </c>
      <c r="C155" s="15">
        <v>104</v>
      </c>
      <c r="D155" s="15">
        <v>20</v>
      </c>
      <c r="E155" s="15">
        <v>119</v>
      </c>
      <c r="F155" s="15">
        <v>20</v>
      </c>
      <c r="G155" s="15">
        <v>128</v>
      </c>
      <c r="H155" s="15">
        <v>20</v>
      </c>
      <c r="I155" s="15"/>
      <c r="J155" s="15"/>
      <c r="K155" s="15"/>
      <c r="L155" s="15"/>
      <c r="M155" s="15"/>
      <c r="N155" s="15"/>
      <c r="O155" s="15"/>
      <c r="P155" s="15"/>
      <c r="Q155" s="15">
        <v>143</v>
      </c>
      <c r="R155" s="15">
        <v>20</v>
      </c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CT155" s="1">
        <v>4</v>
      </c>
      <c r="CU155" s="1" t="str">
        <v>William</v>
      </c>
      <c r="CV155" s="1">
        <v>6.069</v>
      </c>
      <c r="CW155" s="1">
        <v>29</v>
      </c>
    </row>
    <row r="156" spans="1:101" x14ac:dyDescent="0.3">
      <c r="A156" s="15" t="s">
        <v>7</v>
      </c>
      <c r="B156" s="15">
        <v>43</v>
      </c>
      <c r="C156" s="15">
        <v>-16</v>
      </c>
      <c r="D156" s="15">
        <v>9</v>
      </c>
      <c r="E156" s="15"/>
      <c r="F156" s="15"/>
      <c r="G156" s="15">
        <v>94</v>
      </c>
      <c r="H156" s="15">
        <v>9</v>
      </c>
      <c r="I156" s="15"/>
      <c r="J156" s="15"/>
      <c r="K156" s="15"/>
      <c r="L156" s="15"/>
      <c r="M156" s="15">
        <v>58</v>
      </c>
      <c r="N156" s="15">
        <v>9</v>
      </c>
      <c r="O156" s="15"/>
      <c r="P156" s="15"/>
      <c r="Q156" s="15"/>
      <c r="R156" s="15"/>
      <c r="S156" s="15">
        <v>66</v>
      </c>
      <c r="T156" s="15">
        <v>9</v>
      </c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CT156" s="1">
        <v>5</v>
      </c>
      <c r="CU156" s="1" t="str">
        <v>Tom</v>
      </c>
      <c r="CV156" s="1">
        <v>5.9379999999999997</v>
      </c>
      <c r="CW156" s="1">
        <v>357</v>
      </c>
    </row>
    <row r="157" spans="1:101" x14ac:dyDescent="0.3">
      <c r="A157" s="15" t="s">
        <v>7</v>
      </c>
      <c r="B157" s="15">
        <v>42</v>
      </c>
      <c r="C157" s="15">
        <v>63</v>
      </c>
      <c r="D157" s="15">
        <v>13</v>
      </c>
      <c r="E157" s="15">
        <v>89</v>
      </c>
      <c r="F157" s="15">
        <v>13</v>
      </c>
      <c r="G157" s="15">
        <v>43</v>
      </c>
      <c r="H157" s="15">
        <v>13</v>
      </c>
      <c r="I157" s="15"/>
      <c r="J157" s="15"/>
      <c r="K157" s="15"/>
      <c r="L157" s="15"/>
      <c r="M157" s="15"/>
      <c r="N157" s="15"/>
      <c r="O157" s="15"/>
      <c r="P157" s="15"/>
      <c r="Q157" s="15">
        <v>60</v>
      </c>
      <c r="R157" s="15">
        <v>13</v>
      </c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CT157" s="1">
        <v>6</v>
      </c>
      <c r="CU157" s="1" t="str">
        <v>Samuel</v>
      </c>
      <c r="CV157" s="1">
        <v>5.91</v>
      </c>
      <c r="CW157" s="1">
        <v>211</v>
      </c>
    </row>
    <row r="158" spans="1:101" x14ac:dyDescent="0.3">
      <c r="A158" s="15" t="s">
        <v>7</v>
      </c>
      <c r="B158" s="15">
        <v>41</v>
      </c>
      <c r="C158" s="15">
        <v>16</v>
      </c>
      <c r="D158" s="15">
        <v>6</v>
      </c>
      <c r="E158" s="15">
        <v>16</v>
      </c>
      <c r="F158" s="15">
        <v>6</v>
      </c>
      <c r="G158" s="15">
        <v>21</v>
      </c>
      <c r="H158" s="15">
        <v>6</v>
      </c>
      <c r="I158" s="15">
        <v>40</v>
      </c>
      <c r="J158" s="15">
        <v>6</v>
      </c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CT158" s="1">
        <v>7</v>
      </c>
      <c r="CU158" s="1" t="str">
        <v>Joachim</v>
      </c>
      <c r="CV158" s="1">
        <v>5.89</v>
      </c>
      <c r="CW158" s="1">
        <v>109</v>
      </c>
    </row>
    <row r="159" spans="1:101" x14ac:dyDescent="0.3">
      <c r="A159" s="15" t="s">
        <v>7</v>
      </c>
      <c r="B159" s="15">
        <v>40</v>
      </c>
      <c r="C159" s="15">
        <v>58</v>
      </c>
      <c r="D159" s="15">
        <v>8</v>
      </c>
      <c r="E159" s="15">
        <v>22</v>
      </c>
      <c r="F159" s="15">
        <v>8</v>
      </c>
      <c r="G159" s="15">
        <v>62</v>
      </c>
      <c r="H159" s="15">
        <v>8</v>
      </c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>
        <v>16</v>
      </c>
      <c r="AD159" s="15">
        <v>8</v>
      </c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>
        <v>22</v>
      </c>
      <c r="AZ159" s="15">
        <v>8</v>
      </c>
      <c r="CT159" s="1">
        <v>8</v>
      </c>
      <c r="CU159" s="1" t="str">
        <v>Mehdi</v>
      </c>
      <c r="CV159" s="1">
        <v>5.5949999999999998</v>
      </c>
      <c r="CW159" s="1">
        <v>444</v>
      </c>
    </row>
    <row r="160" spans="1:101" x14ac:dyDescent="0.3">
      <c r="A160" s="15" t="s">
        <v>7</v>
      </c>
      <c r="B160" s="15">
        <v>39</v>
      </c>
      <c r="C160" s="15">
        <v>38</v>
      </c>
      <c r="D160" s="15">
        <v>4</v>
      </c>
      <c r="E160" s="15">
        <v>46</v>
      </c>
      <c r="F160" s="15">
        <v>4</v>
      </c>
      <c r="G160" s="15">
        <v>-14</v>
      </c>
      <c r="H160" s="15">
        <v>3</v>
      </c>
      <c r="I160" s="15">
        <v>38</v>
      </c>
      <c r="J160" s="15">
        <v>4</v>
      </c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>
        <v>0</v>
      </c>
      <c r="AF160" s="15">
        <v>1</v>
      </c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CT160" s="1">
        <v>9</v>
      </c>
      <c r="CU160" s="1" t="str">
        <v>Jules</v>
      </c>
      <c r="CV160" s="1">
        <v>5.4589999999999996</v>
      </c>
      <c r="CW160" s="1">
        <v>342</v>
      </c>
    </row>
    <row r="161" spans="1:101" x14ac:dyDescent="0.3">
      <c r="A161" s="15" t="s">
        <v>7</v>
      </c>
      <c r="B161" s="15">
        <v>38</v>
      </c>
      <c r="C161" s="15">
        <v>47</v>
      </c>
      <c r="D161" s="15">
        <v>8</v>
      </c>
      <c r="E161" s="15"/>
      <c r="F161" s="15"/>
      <c r="G161" s="15">
        <v>46</v>
      </c>
      <c r="H161" s="15">
        <v>8</v>
      </c>
      <c r="I161" s="15"/>
      <c r="J161" s="15"/>
      <c r="K161" s="15">
        <v>65</v>
      </c>
      <c r="L161" s="15">
        <v>8</v>
      </c>
      <c r="M161" s="15"/>
      <c r="N161" s="15"/>
      <c r="O161" s="15">
        <v>47</v>
      </c>
      <c r="P161" s="15">
        <v>8</v>
      </c>
      <c r="Q161" s="15"/>
      <c r="R161" s="15"/>
      <c r="S161" s="15"/>
      <c r="T161" s="15"/>
      <c r="U161" s="15"/>
      <c r="V161" s="15"/>
      <c r="W161" s="15">
        <v>-8</v>
      </c>
      <c r="X161" s="15">
        <v>8</v>
      </c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CT161" s="1">
        <v>10</v>
      </c>
      <c r="CU161" s="1" t="str">
        <v>Achille</v>
      </c>
      <c r="CV161" s="1">
        <v>5.4509999999999996</v>
      </c>
      <c r="CW161" s="1">
        <v>845</v>
      </c>
    </row>
    <row r="162" spans="1:101" x14ac:dyDescent="0.3">
      <c r="A162" s="15" t="s">
        <v>7</v>
      </c>
      <c r="B162" s="15">
        <v>37</v>
      </c>
      <c r="C162" s="15">
        <v>128</v>
      </c>
      <c r="D162" s="15">
        <v>20</v>
      </c>
      <c r="E162" s="15"/>
      <c r="F162" s="15"/>
      <c r="G162" s="15">
        <v>152</v>
      </c>
      <c r="H162" s="15">
        <v>20</v>
      </c>
      <c r="I162" s="15"/>
      <c r="J162" s="15"/>
      <c r="K162" s="15"/>
      <c r="L162" s="15"/>
      <c r="M162" s="15">
        <v>94</v>
      </c>
      <c r="N162" s="15">
        <v>20</v>
      </c>
      <c r="O162" s="15"/>
      <c r="P162" s="15"/>
      <c r="Q162" s="15">
        <v>121</v>
      </c>
      <c r="R162" s="15">
        <v>20</v>
      </c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CT162" s="1">
        <v>11</v>
      </c>
      <c r="CU162" s="1" t="str">
        <v>Damien</v>
      </c>
      <c r="CV162" s="1">
        <v>5.3959999999999999</v>
      </c>
      <c r="CW162" s="1">
        <v>804</v>
      </c>
    </row>
    <row r="163" spans="1:101" x14ac:dyDescent="0.3">
      <c r="A163" s="15" t="s">
        <v>7</v>
      </c>
      <c r="B163" s="15">
        <v>36</v>
      </c>
      <c r="C163" s="15">
        <v>68</v>
      </c>
      <c r="D163" s="15">
        <v>12</v>
      </c>
      <c r="E163" s="15">
        <v>45</v>
      </c>
      <c r="F163" s="15">
        <v>12</v>
      </c>
      <c r="G163" s="15"/>
      <c r="H163" s="15"/>
      <c r="I163" s="15"/>
      <c r="J163" s="15"/>
      <c r="K163" s="15">
        <v>49</v>
      </c>
      <c r="L163" s="15">
        <v>12</v>
      </c>
      <c r="M163" s="15">
        <v>98</v>
      </c>
      <c r="N163" s="15">
        <v>12</v>
      </c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CT163" s="1">
        <v>12</v>
      </c>
      <c r="CU163" s="1" t="str">
        <v>Joey</v>
      </c>
      <c r="CV163" s="1">
        <v>5.1920000000000002</v>
      </c>
      <c r="CW163" s="1">
        <v>99</v>
      </c>
    </row>
    <row r="164" spans="1:101" x14ac:dyDescent="0.3">
      <c r="A164" s="15" t="s">
        <v>7</v>
      </c>
      <c r="B164" s="15">
        <v>35</v>
      </c>
      <c r="C164" s="15">
        <v>43</v>
      </c>
      <c r="D164" s="15">
        <v>12</v>
      </c>
      <c r="E164" s="15">
        <v>75</v>
      </c>
      <c r="F164" s="15">
        <v>12</v>
      </c>
      <c r="G164" s="15">
        <v>74</v>
      </c>
      <c r="H164" s="15">
        <v>12</v>
      </c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CT164" s="1">
        <v>13</v>
      </c>
      <c r="CU164" s="1" t="str">
        <v>Marie</v>
      </c>
      <c r="CV164" s="1">
        <v>4.8479999999999999</v>
      </c>
      <c r="CW164" s="1">
        <v>345</v>
      </c>
    </row>
    <row r="165" spans="1:101" x14ac:dyDescent="0.3">
      <c r="A165" s="15" t="s">
        <v>7</v>
      </c>
      <c r="B165" s="15">
        <v>34</v>
      </c>
      <c r="C165" s="15"/>
      <c r="D165" s="15"/>
      <c r="E165" s="15">
        <v>24</v>
      </c>
      <c r="F165" s="15">
        <v>4</v>
      </c>
      <c r="G165" s="15">
        <v>27</v>
      </c>
      <c r="H165" s="15">
        <v>4</v>
      </c>
      <c r="I165" s="15"/>
      <c r="J165" s="15"/>
      <c r="K165" s="15"/>
      <c r="L165" s="15"/>
      <c r="M165" s="15">
        <v>-32</v>
      </c>
      <c r="N165" s="15">
        <v>4</v>
      </c>
      <c r="O165" s="15"/>
      <c r="P165" s="15"/>
      <c r="Q165" s="15">
        <v>68</v>
      </c>
      <c r="R165" s="15">
        <v>12</v>
      </c>
      <c r="S165" s="15">
        <v>56</v>
      </c>
      <c r="T165" s="15">
        <v>4</v>
      </c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CT165" s="1">
        <v>14</v>
      </c>
      <c r="CU165" s="1" t="str">
        <v>Paul</v>
      </c>
      <c r="CV165" s="1">
        <v>4.8129999999999997</v>
      </c>
      <c r="CW165" s="1">
        <v>32</v>
      </c>
    </row>
    <row r="166" spans="1:101" x14ac:dyDescent="0.3">
      <c r="A166" s="15" t="s">
        <v>7</v>
      </c>
      <c r="B166" s="15">
        <v>33</v>
      </c>
      <c r="C166" s="15">
        <v>11</v>
      </c>
      <c r="D166" s="15">
        <v>2</v>
      </c>
      <c r="E166" s="15"/>
      <c r="F166" s="15"/>
      <c r="G166" s="15">
        <v>11</v>
      </c>
      <c r="H166" s="15">
        <v>2</v>
      </c>
      <c r="I166" s="15">
        <v>13</v>
      </c>
      <c r="J166" s="15">
        <v>2</v>
      </c>
      <c r="K166" s="15"/>
      <c r="L166" s="15"/>
      <c r="M166" s="15"/>
      <c r="N166" s="15"/>
      <c r="O166" s="15"/>
      <c r="P166" s="15"/>
      <c r="Q166" s="15"/>
      <c r="R166" s="15"/>
      <c r="S166" s="15">
        <v>13</v>
      </c>
      <c r="T166" s="15">
        <v>2</v>
      </c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6"/>
      <c r="AQ166" s="15"/>
      <c r="AR166" s="15"/>
      <c r="AS166" s="15"/>
      <c r="AT166" s="15"/>
      <c r="AU166" s="15"/>
      <c r="AV166" s="15"/>
      <c r="AW166" s="15"/>
      <c r="AX166" s="15"/>
      <c r="AY166" s="15"/>
      <c r="CT166" s="1">
        <v>15</v>
      </c>
      <c r="CU166" s="1" t="str">
        <v>Lou</v>
      </c>
      <c r="CV166" s="1">
        <v>4.601</v>
      </c>
      <c r="CW166" s="1">
        <v>188</v>
      </c>
    </row>
    <row r="167" spans="1:101" x14ac:dyDescent="0.3">
      <c r="A167" s="15" t="s">
        <v>7</v>
      </c>
      <c r="B167" s="15">
        <v>32</v>
      </c>
      <c r="C167" s="15">
        <v>14</v>
      </c>
      <c r="D167" s="15">
        <v>11</v>
      </c>
      <c r="E167" s="15"/>
      <c r="F167" s="15"/>
      <c r="G167" s="15">
        <v>105</v>
      </c>
      <c r="H167" s="15">
        <v>11</v>
      </c>
      <c r="I167" s="15">
        <v>81</v>
      </c>
      <c r="J167" s="15">
        <v>11</v>
      </c>
      <c r="K167" s="15">
        <v>61</v>
      </c>
      <c r="L167" s="15">
        <v>11</v>
      </c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CT167" s="1">
        <v>16</v>
      </c>
      <c r="CU167" s="1" t="str">
        <v>Émile</v>
      </c>
      <c r="CV167" s="1">
        <v>4.5</v>
      </c>
      <c r="CW167" s="1">
        <v>28</v>
      </c>
    </row>
    <row r="168" spans="1:101" x14ac:dyDescent="0.3">
      <c r="A168" s="15" t="s">
        <v>7</v>
      </c>
      <c r="B168" s="15">
        <v>31</v>
      </c>
      <c r="C168" s="15">
        <v>40</v>
      </c>
      <c r="D168" s="15">
        <v>4</v>
      </c>
      <c r="E168" s="15"/>
      <c r="F168" s="15"/>
      <c r="G168" s="15">
        <v>1</v>
      </c>
      <c r="H168" s="15">
        <v>4</v>
      </c>
      <c r="I168" s="15"/>
      <c r="J168" s="15"/>
      <c r="K168" s="15">
        <v>30</v>
      </c>
      <c r="L168" s="15">
        <v>4</v>
      </c>
      <c r="M168" s="15"/>
      <c r="N168" s="15"/>
      <c r="O168" s="15"/>
      <c r="P168" s="15"/>
      <c r="Q168" s="15"/>
      <c r="R168" s="15"/>
      <c r="S168" s="15">
        <v>19</v>
      </c>
      <c r="T168" s="15">
        <v>4</v>
      </c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CT168" s="1">
        <v>17</v>
      </c>
      <c r="CU168" s="1" t="str">
        <v>Stanislas</v>
      </c>
      <c r="CV168" s="1">
        <v>4.4809999999999999</v>
      </c>
      <c r="CW168" s="1">
        <v>27</v>
      </c>
    </row>
    <row r="169" spans="1:101" x14ac:dyDescent="0.3">
      <c r="A169" s="15" t="s">
        <v>7</v>
      </c>
      <c r="B169" s="15">
        <v>30</v>
      </c>
      <c r="C169" s="15">
        <f>56/2</f>
        <v>28</v>
      </c>
      <c r="D169" s="15">
        <f>6/2</f>
        <v>3</v>
      </c>
      <c r="E169" s="15"/>
      <c r="F169" s="15"/>
      <c r="G169" s="15">
        <v>-28</v>
      </c>
      <c r="H169" s="15">
        <v>6</v>
      </c>
      <c r="I169" s="15"/>
      <c r="J169" s="15"/>
      <c r="K169" s="15">
        <f>56/2</f>
        <v>28</v>
      </c>
      <c r="L169" s="15">
        <f>6/2</f>
        <v>3</v>
      </c>
      <c r="M169" s="15">
        <v>28</v>
      </c>
      <c r="N169" s="15">
        <v>6</v>
      </c>
      <c r="O169" s="15"/>
      <c r="P169" s="15"/>
      <c r="Q169" s="15"/>
      <c r="R169" s="15"/>
      <c r="S169" s="15">
        <v>53</v>
      </c>
      <c r="T169" s="15">
        <v>6</v>
      </c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CT169" s="1">
        <v>18</v>
      </c>
      <c r="CU169" s="1" t="str">
        <v>Quentin</v>
      </c>
      <c r="CV169" s="1">
        <v>4.0970000000000004</v>
      </c>
      <c r="CW169" s="1">
        <v>93</v>
      </c>
    </row>
    <row r="170" spans="1:101" x14ac:dyDescent="0.3">
      <c r="A170" s="15" t="s">
        <v>7</v>
      </c>
      <c r="B170" s="15">
        <v>29</v>
      </c>
      <c r="C170" s="15">
        <v>7</v>
      </c>
      <c r="D170" s="15">
        <v>6</v>
      </c>
      <c r="E170" s="15">
        <v>41</v>
      </c>
      <c r="F170" s="15">
        <v>6</v>
      </c>
      <c r="G170" s="15">
        <v>42</v>
      </c>
      <c r="H170" s="15">
        <v>6</v>
      </c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>
        <v>34</v>
      </c>
      <c r="T170" s="15">
        <v>6</v>
      </c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CT170" s="1">
        <v>19</v>
      </c>
      <c r="CU170" s="1" t="str">
        <v>Fantinne</v>
      </c>
      <c r="CV170" s="1">
        <v>3.6440000000000001</v>
      </c>
      <c r="CW170" s="1">
        <v>59</v>
      </c>
    </row>
    <row r="171" spans="1:101" x14ac:dyDescent="0.3">
      <c r="A171" s="15" t="s">
        <v>7</v>
      </c>
      <c r="B171" s="15">
        <v>28</v>
      </c>
      <c r="C171" s="15">
        <v>31</v>
      </c>
      <c r="D171" s="15">
        <v>4</v>
      </c>
      <c r="E171" s="15">
        <v>55</v>
      </c>
      <c r="F171" s="15">
        <v>4</v>
      </c>
      <c r="G171" s="15">
        <v>-8</v>
      </c>
      <c r="H171" s="15">
        <v>4</v>
      </c>
      <c r="I171" s="15">
        <v>33</v>
      </c>
      <c r="J171" s="15">
        <v>4</v>
      </c>
      <c r="K171" s="15"/>
      <c r="L171" s="15"/>
      <c r="M171" s="15">
        <v>11</v>
      </c>
      <c r="N171" s="15">
        <v>4</v>
      </c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CT171" s="1">
        <v>20</v>
      </c>
      <c r="CU171" s="1" t="str">
        <v>Luca</v>
      </c>
      <c r="CV171" s="1">
        <v>3.2320000000000002</v>
      </c>
      <c r="CW171" s="1">
        <v>190</v>
      </c>
    </row>
    <row r="172" spans="1:101" x14ac:dyDescent="0.3">
      <c r="A172" s="15" t="s">
        <v>7</v>
      </c>
      <c r="B172" s="15">
        <v>27</v>
      </c>
      <c r="C172" s="15">
        <v>42</v>
      </c>
      <c r="D172" s="15">
        <v>9</v>
      </c>
      <c r="E172" s="15">
        <v>73</v>
      </c>
      <c r="F172" s="15">
        <v>9</v>
      </c>
      <c r="G172" s="15">
        <v>34</v>
      </c>
      <c r="H172" s="15">
        <v>9</v>
      </c>
      <c r="I172" s="15">
        <v>62</v>
      </c>
      <c r="J172" s="15">
        <v>9</v>
      </c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CT172" s="1">
        <v>21</v>
      </c>
      <c r="CU172" s="1" t="str">
        <v>Loulou</v>
      </c>
      <c r="CV172" s="1">
        <v>3.1779999999999999</v>
      </c>
      <c r="CW172" s="1">
        <v>101</v>
      </c>
    </row>
    <row r="173" spans="1:101" x14ac:dyDescent="0.3">
      <c r="A173" s="15" t="s">
        <v>7</v>
      </c>
      <c r="B173" s="15">
        <v>26</v>
      </c>
      <c r="C173" s="15">
        <v>0</v>
      </c>
      <c r="D173" s="15">
        <v>1</v>
      </c>
      <c r="E173" s="15">
        <v>8</v>
      </c>
      <c r="F173" s="15">
        <v>1</v>
      </c>
      <c r="G173" s="15"/>
      <c r="H173" s="15"/>
      <c r="I173" s="15"/>
      <c r="J173" s="15"/>
      <c r="K173" s="15"/>
      <c r="L173" s="15"/>
      <c r="M173" s="15">
        <v>21</v>
      </c>
      <c r="N173" s="15">
        <v>2</v>
      </c>
      <c r="O173" s="15"/>
      <c r="P173" s="15"/>
      <c r="Q173" s="15"/>
      <c r="R173" s="15"/>
      <c r="S173" s="15">
        <v>13</v>
      </c>
      <c r="T173" s="15">
        <v>2</v>
      </c>
      <c r="U173" s="15"/>
      <c r="V173" s="15"/>
      <c r="W173" s="15"/>
      <c r="X173" s="15"/>
      <c r="Y173" s="15"/>
      <c r="Z173" s="15"/>
      <c r="AA173" s="15"/>
      <c r="AB173" s="15"/>
      <c r="AC173" s="15">
        <v>0</v>
      </c>
      <c r="AD173" s="15">
        <v>2</v>
      </c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</row>
    <row r="174" spans="1:101" x14ac:dyDescent="0.3">
      <c r="A174" s="15" t="s">
        <v>7</v>
      </c>
      <c r="B174" s="15">
        <v>25</v>
      </c>
      <c r="C174" s="15"/>
      <c r="D174" s="15"/>
      <c r="E174" s="15">
        <v>-14</v>
      </c>
      <c r="F174" s="15">
        <v>2</v>
      </c>
      <c r="G174" s="15">
        <v>27</v>
      </c>
      <c r="H174" s="15">
        <v>2</v>
      </c>
      <c r="I174" s="15">
        <v>-14</v>
      </c>
      <c r="J174" s="15">
        <v>2</v>
      </c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>
        <v>27</v>
      </c>
      <c r="AF174" s="15">
        <v>2</v>
      </c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</row>
    <row r="175" spans="1:101" x14ac:dyDescent="0.3">
      <c r="A175" s="15" t="s">
        <v>7</v>
      </c>
      <c r="B175" s="15">
        <v>24</v>
      </c>
      <c r="C175" s="15">
        <v>14</v>
      </c>
      <c r="D175" s="15">
        <v>2</v>
      </c>
      <c r="E175" s="15"/>
      <c r="F175" s="15"/>
      <c r="G175" s="15">
        <v>34</v>
      </c>
      <c r="H175" s="15">
        <v>2</v>
      </c>
      <c r="I175" s="15"/>
      <c r="J175" s="15"/>
      <c r="K175" s="15">
        <v>20</v>
      </c>
      <c r="L175" s="15">
        <v>2</v>
      </c>
      <c r="M175" s="15">
        <v>0</v>
      </c>
      <c r="N175" s="15">
        <v>2</v>
      </c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</row>
    <row r="176" spans="1:101" x14ac:dyDescent="0.3">
      <c r="A176" s="15" t="s">
        <v>7</v>
      </c>
      <c r="B176" s="15">
        <v>23</v>
      </c>
      <c r="C176" s="15">
        <v>13</v>
      </c>
      <c r="D176" s="15">
        <v>9</v>
      </c>
      <c r="E176" s="15"/>
      <c r="F176" s="15"/>
      <c r="G176" s="15">
        <v>99</v>
      </c>
      <c r="H176" s="15">
        <v>9</v>
      </c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>
        <v>28</v>
      </c>
      <c r="T176" s="15">
        <v>9</v>
      </c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>
        <v>42</v>
      </c>
      <c r="AL176" s="15">
        <v>9</v>
      </c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</row>
    <row r="177" spans="1:104" x14ac:dyDescent="0.3">
      <c r="A177" s="15" t="s">
        <v>7</v>
      </c>
      <c r="B177" s="15">
        <v>22</v>
      </c>
      <c r="C177" s="15">
        <v>19</v>
      </c>
      <c r="D177" s="15">
        <v>8</v>
      </c>
      <c r="E177" s="15">
        <v>82</v>
      </c>
      <c r="F177" s="15">
        <v>8</v>
      </c>
      <c r="G177" s="15">
        <v>24</v>
      </c>
      <c r="H177" s="15">
        <v>8</v>
      </c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>
        <v>79</v>
      </c>
      <c r="AL177" s="15">
        <v>8</v>
      </c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</row>
    <row r="178" spans="1:104" x14ac:dyDescent="0.3">
      <c r="A178" s="15" t="s">
        <v>7</v>
      </c>
      <c r="B178" s="15">
        <v>21</v>
      </c>
      <c r="C178" s="15">
        <v>93</v>
      </c>
      <c r="D178" s="15">
        <v>20</v>
      </c>
      <c r="E178" s="15">
        <v>156</v>
      </c>
      <c r="F178" s="15">
        <v>20</v>
      </c>
      <c r="G178" s="15">
        <v>153</v>
      </c>
      <c r="H178" s="15">
        <v>20</v>
      </c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>
        <v>59</v>
      </c>
      <c r="X178" s="15">
        <v>20</v>
      </c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CT178" s="1" t="str" cm="1">
        <f t="array" ref="CT178:CV196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Boris</v>
      </c>
      <c r="CU178" s="1">
        <v>7.2416666666666663</v>
      </c>
      <c r="CV178" s="1">
        <v>1260</v>
      </c>
      <c r="CY178" s="1" t="str" cm="1">
        <f t="array" ref="CY178:CZ198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Boris</v>
      </c>
      <c r="CZ178" s="1">
        <v>7.2416666666666663</v>
      </c>
    </row>
    <row r="179" spans="1:104" x14ac:dyDescent="0.3">
      <c r="A179" s="15" t="s">
        <v>7</v>
      </c>
      <c r="B179" s="15">
        <v>20</v>
      </c>
      <c r="C179" s="15"/>
      <c r="D179" s="15"/>
      <c r="E179" s="15">
        <v>35</v>
      </c>
      <c r="F179" s="15">
        <v>8</v>
      </c>
      <c r="G179" s="15">
        <v>45</v>
      </c>
      <c r="H179" s="15">
        <v>8</v>
      </c>
      <c r="I179" s="15"/>
      <c r="J179" s="15"/>
      <c r="K179" s="15"/>
      <c r="L179" s="15"/>
      <c r="M179" s="15">
        <v>27</v>
      </c>
      <c r="N179" s="15">
        <v>8</v>
      </c>
      <c r="O179" s="15"/>
      <c r="P179" s="15"/>
      <c r="Q179" s="15"/>
      <c r="R179" s="15"/>
      <c r="S179" s="15">
        <v>78</v>
      </c>
      <c r="T179" s="15">
        <v>8</v>
      </c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CT179" s="1" t="str">
        <v>Gauthier</v>
      </c>
      <c r="CU179" s="1">
        <v>6.67</v>
      </c>
      <c r="CV179" s="1">
        <v>100</v>
      </c>
      <c r="CY179" s="1" t="str">
        <v>Gauthier</v>
      </c>
      <c r="CZ179" s="1">
        <v>6.67</v>
      </c>
    </row>
    <row r="180" spans="1:104" x14ac:dyDescent="0.3">
      <c r="A180" s="15" t="s">
        <v>7</v>
      </c>
      <c r="B180" s="15">
        <v>19</v>
      </c>
      <c r="C180" s="15">
        <v>2</v>
      </c>
      <c r="D180" s="15">
        <v>7</v>
      </c>
      <c r="E180" s="15">
        <v>57</v>
      </c>
      <c r="F180" s="15">
        <v>7</v>
      </c>
      <c r="G180" s="15">
        <v>73</v>
      </c>
      <c r="H180" s="15">
        <v>7</v>
      </c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>
        <v>29</v>
      </c>
      <c r="T180" s="15">
        <v>7</v>
      </c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CT180" s="1" t="str">
        <v>Célian</v>
      </c>
      <c r="CU180" s="1">
        <v>6.3260340632603409</v>
      </c>
      <c r="CV180" s="1">
        <v>411</v>
      </c>
      <c r="CY180" s="1" t="str">
        <v>Célian</v>
      </c>
      <c r="CZ180" s="1">
        <v>6.3260340632603409</v>
      </c>
    </row>
    <row r="181" spans="1:104" x14ac:dyDescent="0.3">
      <c r="A181" s="15" t="s">
        <v>7</v>
      </c>
      <c r="B181" s="15">
        <v>18</v>
      </c>
      <c r="C181" s="15">
        <v>50</v>
      </c>
      <c r="D181" s="15">
        <v>10</v>
      </c>
      <c r="E181" s="15"/>
      <c r="F181" s="15"/>
      <c r="G181" s="15">
        <v>103</v>
      </c>
      <c r="H181" s="15">
        <v>10</v>
      </c>
      <c r="I181" s="15"/>
      <c r="J181" s="15"/>
      <c r="K181" s="15"/>
      <c r="L181" s="15"/>
      <c r="M181" s="15"/>
      <c r="N181" s="15"/>
      <c r="O181" s="15"/>
      <c r="P181" s="15"/>
      <c r="Q181" s="15">
        <v>44</v>
      </c>
      <c r="R181" s="15">
        <v>10</v>
      </c>
      <c r="S181" s="15"/>
      <c r="T181" s="15"/>
      <c r="U181" s="15">
        <v>2</v>
      </c>
      <c r="V181" s="15">
        <v>10</v>
      </c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CT181" s="1" t="str">
        <v>William</v>
      </c>
      <c r="CU181" s="1">
        <v>6.068965517241379</v>
      </c>
      <c r="CV181" s="1">
        <v>29</v>
      </c>
      <c r="CY181" s="1" t="str">
        <v>William</v>
      </c>
      <c r="CZ181" s="1">
        <v>6.068965517241379</v>
      </c>
    </row>
    <row r="182" spans="1:104" x14ac:dyDescent="0.3">
      <c r="A182" s="15" t="s">
        <v>7</v>
      </c>
      <c r="B182" s="15">
        <v>17</v>
      </c>
      <c r="C182" s="15">
        <v>28</v>
      </c>
      <c r="D182" s="15">
        <v>8</v>
      </c>
      <c r="E182" s="15">
        <v>8</v>
      </c>
      <c r="F182" s="15">
        <v>8</v>
      </c>
      <c r="G182" s="15">
        <v>94</v>
      </c>
      <c r="H182" s="15">
        <v>8</v>
      </c>
      <c r="I182" s="15"/>
      <c r="J182" s="15"/>
      <c r="K182" s="15"/>
      <c r="L182" s="15"/>
      <c r="M182" s="15">
        <v>39</v>
      </c>
      <c r="N182" s="15">
        <v>8</v>
      </c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CT182" s="1" t="str">
        <v>Tom</v>
      </c>
      <c r="CU182" s="1">
        <v>5.9383753501400562</v>
      </c>
      <c r="CV182" s="1">
        <v>357</v>
      </c>
      <c r="CY182" s="1" t="str">
        <v>Tom</v>
      </c>
      <c r="CZ182" s="1">
        <v>5.9383753501400562</v>
      </c>
    </row>
    <row r="183" spans="1:104" x14ac:dyDescent="0.3">
      <c r="A183" s="15" t="s">
        <v>7</v>
      </c>
      <c r="B183" s="15">
        <v>16</v>
      </c>
      <c r="C183" s="15">
        <v>59</v>
      </c>
      <c r="D183" s="15">
        <v>11</v>
      </c>
      <c r="E183" s="15">
        <v>99</v>
      </c>
      <c r="F183" s="15">
        <v>11</v>
      </c>
      <c r="G183" s="15">
        <v>46</v>
      </c>
      <c r="H183" s="15">
        <v>11</v>
      </c>
      <c r="I183" s="15">
        <v>42</v>
      </c>
      <c r="J183" s="15">
        <v>11</v>
      </c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CT183" s="1" t="str">
        <v>Samuel</v>
      </c>
      <c r="CU183" s="1">
        <v>5.9099526066350707</v>
      </c>
      <c r="CV183" s="1">
        <v>211</v>
      </c>
      <c r="CY183" s="1" t="str">
        <v>Samuel</v>
      </c>
      <c r="CZ183" s="1">
        <v>5.9099526066350707</v>
      </c>
    </row>
    <row r="184" spans="1:104" x14ac:dyDescent="0.3">
      <c r="A184" s="15" t="s">
        <v>7</v>
      </c>
      <c r="B184" s="15">
        <v>15</v>
      </c>
      <c r="C184" s="15">
        <v>21</v>
      </c>
      <c r="D184" s="15">
        <v>12</v>
      </c>
      <c r="E184" s="15">
        <v>61</v>
      </c>
      <c r="F184" s="15">
        <v>12</v>
      </c>
      <c r="G184" s="15">
        <v>91</v>
      </c>
      <c r="H184" s="15">
        <v>12</v>
      </c>
      <c r="I184" s="15"/>
      <c r="J184" s="15"/>
      <c r="K184" s="15"/>
      <c r="L184" s="15"/>
      <c r="M184" s="15"/>
      <c r="N184" s="15"/>
      <c r="O184" s="15">
        <v>70</v>
      </c>
      <c r="P184" s="15">
        <v>12</v>
      </c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CT184" s="1" t="str">
        <v>Joachim</v>
      </c>
      <c r="CU184" s="1">
        <v>5.8899082568807337</v>
      </c>
      <c r="CV184" s="1">
        <v>109</v>
      </c>
      <c r="CY184" s="1" t="str">
        <v>Joachim</v>
      </c>
      <c r="CZ184" s="1">
        <v>5.8899082568807337</v>
      </c>
    </row>
    <row r="185" spans="1:104" x14ac:dyDescent="0.3">
      <c r="A185" s="15" t="s">
        <v>7</v>
      </c>
      <c r="B185" s="15">
        <v>14</v>
      </c>
      <c r="C185" s="15">
        <v>29</v>
      </c>
      <c r="D185" s="15">
        <v>12</v>
      </c>
      <c r="E185" s="15">
        <v>55</v>
      </c>
      <c r="F185" s="15">
        <v>12</v>
      </c>
      <c r="G185" s="15">
        <v>107</v>
      </c>
      <c r="H185" s="15">
        <v>12</v>
      </c>
      <c r="I185" s="15">
        <v>81</v>
      </c>
      <c r="J185" s="15">
        <v>12</v>
      </c>
      <c r="K185" s="15">
        <v>84</v>
      </c>
      <c r="L185" s="15">
        <v>12</v>
      </c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CT185" s="1" t="str">
        <v>Mehdi</v>
      </c>
      <c r="CU185" s="1">
        <v>5.5945945945945947</v>
      </c>
      <c r="CV185" s="1">
        <v>444</v>
      </c>
      <c r="CY185" s="1" t="str">
        <v>Mehdi</v>
      </c>
      <c r="CZ185" s="1">
        <v>5.5945945945945947</v>
      </c>
    </row>
    <row r="186" spans="1:104" x14ac:dyDescent="0.3">
      <c r="A186" s="15" t="s">
        <v>7</v>
      </c>
      <c r="B186" s="15">
        <v>13</v>
      </c>
      <c r="C186" s="15">
        <v>162</v>
      </c>
      <c r="D186" s="15">
        <v>20</v>
      </c>
      <c r="E186" s="15">
        <v>125</v>
      </c>
      <c r="F186" s="15">
        <v>20</v>
      </c>
      <c r="G186" s="15">
        <v>87</v>
      </c>
      <c r="H186" s="15">
        <v>20</v>
      </c>
      <c r="I186" s="15">
        <v>150</v>
      </c>
      <c r="J186" s="15">
        <v>20</v>
      </c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CT186" s="1" t="str">
        <v>Jules</v>
      </c>
      <c r="CU186" s="1">
        <v>5.4590643274853798</v>
      </c>
      <c r="CV186" s="1">
        <v>342</v>
      </c>
      <c r="CY186" s="1" t="str">
        <v>Jules</v>
      </c>
      <c r="CZ186" s="1">
        <v>5.4590643274853798</v>
      </c>
    </row>
    <row r="187" spans="1:104" x14ac:dyDescent="0.3">
      <c r="A187" s="1" t="s">
        <v>25</v>
      </c>
      <c r="B187" s="1" t="s">
        <v>26</v>
      </c>
      <c r="CT187" s="1" t="str">
        <v>Achille</v>
      </c>
      <c r="CU187" s="1">
        <v>5.4508875739644971</v>
      </c>
      <c r="CV187" s="1">
        <v>845</v>
      </c>
      <c r="CY187" s="1" t="str">
        <v>Achille</v>
      </c>
      <c r="CZ187" s="1">
        <v>5.4508875739644971</v>
      </c>
    </row>
    <row r="188" spans="1:104" x14ac:dyDescent="0.3">
      <c r="A188" s="1" t="s">
        <v>7</v>
      </c>
      <c r="B188" s="1">
        <v>12</v>
      </c>
      <c r="C188" s="1">
        <v>91</v>
      </c>
      <c r="D188" s="1">
        <v>11</v>
      </c>
      <c r="G188" s="1">
        <v>40</v>
      </c>
      <c r="H188" s="1">
        <v>11</v>
      </c>
      <c r="U188" s="1">
        <v>64</v>
      </c>
      <c r="V188" s="1">
        <v>11</v>
      </c>
      <c r="Y188" s="1">
        <v>64</v>
      </c>
      <c r="Z188" s="1">
        <v>11</v>
      </c>
      <c r="CT188" s="1" t="str">
        <v>Damien</v>
      </c>
      <c r="CU188" s="1">
        <v>5.3955223880597014</v>
      </c>
      <c r="CV188" s="1">
        <v>804</v>
      </c>
      <c r="CY188" s="1" t="str">
        <v>Damien</v>
      </c>
      <c r="CZ188" s="1">
        <v>5.3955223880597014</v>
      </c>
    </row>
    <row r="189" spans="1:104" x14ac:dyDescent="0.3">
      <c r="A189" s="1" t="s">
        <v>7</v>
      </c>
      <c r="B189" s="1">
        <v>11</v>
      </c>
      <c r="C189" s="1">
        <v>64</v>
      </c>
      <c r="D189" s="1">
        <v>20</v>
      </c>
      <c r="E189" s="1">
        <v>87</v>
      </c>
      <c r="F189" s="1">
        <v>20</v>
      </c>
      <c r="G189" s="1">
        <v>185</v>
      </c>
      <c r="H189" s="1">
        <v>20</v>
      </c>
      <c r="M189" s="1">
        <v>134</v>
      </c>
      <c r="N189" s="1">
        <v>20</v>
      </c>
      <c r="CT189" s="1" t="str">
        <v>Joey</v>
      </c>
      <c r="CU189" s="1">
        <v>5.191919191919192</v>
      </c>
      <c r="CV189" s="1">
        <v>99</v>
      </c>
      <c r="CY189" s="1" t="str">
        <v>Joey</v>
      </c>
      <c r="CZ189" s="1">
        <v>5.191919191919192</v>
      </c>
    </row>
    <row r="190" spans="1:104" x14ac:dyDescent="0.3">
      <c r="A190" s="1" t="s">
        <v>7</v>
      </c>
      <c r="B190" s="1">
        <v>10</v>
      </c>
      <c r="C190" s="1">
        <v>-2</v>
      </c>
      <c r="D190" s="1">
        <v>8</v>
      </c>
      <c r="G190" s="1">
        <v>65</v>
      </c>
      <c r="H190" s="1">
        <v>8</v>
      </c>
      <c r="K190" s="1">
        <v>44</v>
      </c>
      <c r="L190" s="1">
        <v>8</v>
      </c>
      <c r="M190" s="1">
        <v>80</v>
      </c>
      <c r="N190" s="1">
        <v>8</v>
      </c>
      <c r="CT190" s="1" t="str">
        <v>Marie</v>
      </c>
      <c r="CU190" s="1">
        <v>4.8478260869565215</v>
      </c>
      <c r="CV190" s="1">
        <v>345</v>
      </c>
      <c r="CY190" s="1" t="str">
        <v>Marie</v>
      </c>
      <c r="CZ190" s="1">
        <v>4.8478260869565215</v>
      </c>
    </row>
    <row r="191" spans="1:104" x14ac:dyDescent="0.3">
      <c r="A191" s="1" t="s">
        <v>7</v>
      </c>
      <c r="B191" s="1">
        <v>9</v>
      </c>
      <c r="C191" s="1">
        <v>45</v>
      </c>
      <c r="D191" s="1">
        <v>9</v>
      </c>
      <c r="G191" s="1">
        <v>47</v>
      </c>
      <c r="H191" s="1">
        <v>9</v>
      </c>
      <c r="Y191" s="1">
        <v>44</v>
      </c>
      <c r="Z191" s="1">
        <v>9</v>
      </c>
      <c r="AA191" s="1">
        <v>42</v>
      </c>
      <c r="AB191" s="1">
        <v>9</v>
      </c>
      <c r="CT191" s="1" t="str">
        <v>Paul</v>
      </c>
      <c r="CU191" s="1">
        <v>4.8125</v>
      </c>
      <c r="CV191" s="1">
        <v>32</v>
      </c>
      <c r="CY191" s="1" t="str">
        <v>Paul</v>
      </c>
      <c r="CZ191" s="1">
        <v>4.8125</v>
      </c>
    </row>
    <row r="192" spans="1:104" x14ac:dyDescent="0.3">
      <c r="A192" s="1" t="s">
        <v>7</v>
      </c>
      <c r="B192" s="1">
        <v>8</v>
      </c>
      <c r="C192" s="1">
        <v>61</v>
      </c>
      <c r="D192" s="1">
        <v>12</v>
      </c>
      <c r="G192" s="1">
        <v>96</v>
      </c>
      <c r="H192" s="1">
        <v>12</v>
      </c>
      <c r="Y192" s="1">
        <v>46</v>
      </c>
      <c r="Z192" s="1">
        <v>12</v>
      </c>
      <c r="AA192" s="1">
        <v>47</v>
      </c>
      <c r="AB192" s="1">
        <v>12</v>
      </c>
      <c r="CT192" s="1" t="str">
        <v>Émile</v>
      </c>
      <c r="CU192" s="1">
        <v>4.5</v>
      </c>
      <c r="CV192" s="1">
        <v>28</v>
      </c>
      <c r="CY192" s="1" t="str">
        <v>Lou</v>
      </c>
      <c r="CZ192" s="1">
        <v>4.6010638297872344</v>
      </c>
    </row>
    <row r="193" spans="1:104" x14ac:dyDescent="0.3">
      <c r="A193" s="1" t="s">
        <v>7</v>
      </c>
      <c r="B193" s="1">
        <v>7</v>
      </c>
      <c r="C193" s="1">
        <v>36</v>
      </c>
      <c r="D193" s="1">
        <v>2</v>
      </c>
      <c r="E193" s="1">
        <v>0</v>
      </c>
      <c r="F193" s="1">
        <v>2</v>
      </c>
      <c r="G193" s="1">
        <v>0</v>
      </c>
      <c r="H193" s="1">
        <v>2</v>
      </c>
      <c r="O193" s="1">
        <v>12</v>
      </c>
      <c r="P193" s="1">
        <v>2</v>
      </c>
      <c r="CT193" s="1" t="str">
        <v>Quentin</v>
      </c>
      <c r="CU193" s="1">
        <v>4.096774193548387</v>
      </c>
      <c r="CV193" s="1">
        <v>93</v>
      </c>
      <c r="CY193" s="1" t="str">
        <v>Émile</v>
      </c>
      <c r="CZ193" s="1">
        <v>4.5</v>
      </c>
    </row>
    <row r="194" spans="1:104" x14ac:dyDescent="0.3">
      <c r="A194" s="1" t="s">
        <v>7</v>
      </c>
      <c r="B194" s="1">
        <v>6</v>
      </c>
      <c r="C194" s="1">
        <v>99</v>
      </c>
      <c r="D194" s="1">
        <v>13</v>
      </c>
      <c r="E194" s="1">
        <v>23</v>
      </c>
      <c r="F194" s="1">
        <v>13</v>
      </c>
      <c r="G194" s="1">
        <v>90</v>
      </c>
      <c r="H194" s="1">
        <v>13</v>
      </c>
      <c r="I194" s="1">
        <v>131</v>
      </c>
      <c r="J194" s="1">
        <v>13</v>
      </c>
      <c r="CT194" s="1" t="str">
        <v>Fantinne</v>
      </c>
      <c r="CU194" s="1">
        <v>3.6440677966101696</v>
      </c>
      <c r="CV194" s="1">
        <v>59</v>
      </c>
      <c r="CY194" s="1" t="str">
        <v>Stanislas</v>
      </c>
      <c r="CZ194" s="1">
        <v>4.4814814814814818</v>
      </c>
    </row>
    <row r="195" spans="1:104" x14ac:dyDescent="0.3">
      <c r="A195" s="1" t="s">
        <v>7</v>
      </c>
      <c r="B195" s="1">
        <v>5</v>
      </c>
      <c r="C195" s="1">
        <v>56</v>
      </c>
      <c r="D195" s="1">
        <v>9</v>
      </c>
      <c r="E195" s="1">
        <v>35</v>
      </c>
      <c r="F195" s="1">
        <v>9</v>
      </c>
      <c r="G195" s="1">
        <v>106</v>
      </c>
      <c r="H195" s="1">
        <v>9</v>
      </c>
      <c r="W195" s="1">
        <v>55</v>
      </c>
      <c r="X195" s="1">
        <v>9</v>
      </c>
      <c r="CT195" s="1" t="str">
        <v>Luca</v>
      </c>
      <c r="CU195" s="1">
        <v>3.2315789473684209</v>
      </c>
      <c r="CV195" s="1">
        <v>190</v>
      </c>
      <c r="CY195" s="1" t="str">
        <v>Quentin</v>
      </c>
      <c r="CZ195" s="1">
        <v>4.096774193548387</v>
      </c>
    </row>
    <row r="196" spans="1:104" x14ac:dyDescent="0.3">
      <c r="A196" s="1" t="s">
        <v>7</v>
      </c>
      <c r="B196" s="1">
        <v>4</v>
      </c>
      <c r="C196" s="1">
        <v>83</v>
      </c>
      <c r="D196" s="1">
        <v>11</v>
      </c>
      <c r="E196" s="1">
        <v>8</v>
      </c>
      <c r="F196" s="1">
        <v>11</v>
      </c>
      <c r="G196" s="1">
        <v>110</v>
      </c>
      <c r="H196" s="1">
        <v>11</v>
      </c>
      <c r="I196" s="1">
        <v>57</v>
      </c>
      <c r="J196" s="1">
        <v>11</v>
      </c>
      <c r="CT196" s="1" t="str">
        <v>Loulou</v>
      </c>
      <c r="CU196" s="1">
        <v>3.1782178217821784</v>
      </c>
      <c r="CV196" s="1">
        <v>101</v>
      </c>
      <c r="CY196" s="1" t="str">
        <v>Fantinne</v>
      </c>
      <c r="CZ196" s="1">
        <v>3.6440677966101696</v>
      </c>
    </row>
    <row r="197" spans="1:104" x14ac:dyDescent="0.3">
      <c r="A197" s="1" t="s">
        <v>7</v>
      </c>
      <c r="B197" s="1">
        <v>3</v>
      </c>
      <c r="C197" s="1">
        <v>71</v>
      </c>
      <c r="D197" s="1">
        <v>13</v>
      </c>
      <c r="G197" s="1">
        <v>88</v>
      </c>
      <c r="H197" s="1">
        <v>13</v>
      </c>
      <c r="I197" s="1">
        <v>116</v>
      </c>
      <c r="J197" s="1">
        <v>13</v>
      </c>
      <c r="M197" s="1">
        <v>29</v>
      </c>
      <c r="N197" s="1">
        <v>13</v>
      </c>
      <c r="CY197" s="1" t="str">
        <v>Luca</v>
      </c>
      <c r="CZ197" s="1">
        <v>3.2315789473684209</v>
      </c>
    </row>
    <row r="198" spans="1:104" x14ac:dyDescent="0.3">
      <c r="A198" s="1" t="s">
        <v>7</v>
      </c>
      <c r="B198" s="1">
        <v>2</v>
      </c>
      <c r="C198" s="1">
        <v>21</v>
      </c>
      <c r="D198" s="1">
        <v>15</v>
      </c>
      <c r="E198" s="1">
        <v>33</v>
      </c>
      <c r="F198" s="1">
        <v>15</v>
      </c>
      <c r="G198" s="1">
        <v>90</v>
      </c>
      <c r="H198" s="1">
        <v>15</v>
      </c>
      <c r="I198" s="1">
        <v>99</v>
      </c>
      <c r="J198" s="1">
        <v>15</v>
      </c>
      <c r="CY198" s="1" t="str">
        <v>Loulou</v>
      </c>
      <c r="CZ198" s="1">
        <v>3.1782178217821784</v>
      </c>
    </row>
    <row r="199" spans="1:104" x14ac:dyDescent="0.3">
      <c r="A199" s="1" t="s">
        <v>7</v>
      </c>
      <c r="B199" s="1">
        <v>1</v>
      </c>
      <c r="C199" s="1">
        <v>-5</v>
      </c>
      <c r="D199" s="1">
        <v>12</v>
      </c>
      <c r="E199" s="1">
        <v>88</v>
      </c>
      <c r="F199" s="1">
        <v>12</v>
      </c>
      <c r="G199" s="1">
        <v>64</v>
      </c>
      <c r="H199" s="1">
        <v>12</v>
      </c>
      <c r="I199" s="1">
        <v>95</v>
      </c>
      <c r="J199" s="1">
        <v>12</v>
      </c>
    </row>
  </sheetData>
  <sortState xmlns:xlrd2="http://schemas.microsoft.com/office/spreadsheetml/2017/richdata2" ref="A188:AM199">
    <sortCondition descending="1" ref="B188:B199"/>
  </sortState>
  <mergeCells count="40">
    <mergeCell ref="BW9:BX9"/>
    <mergeCell ref="BY9:BZ9"/>
    <mergeCell ref="CA9:CB9"/>
    <mergeCell ref="CC9:CD9"/>
    <mergeCell ref="BG9:BH9"/>
    <mergeCell ref="BI9:BJ9"/>
    <mergeCell ref="BK9:BL9"/>
    <mergeCell ref="BM9:BN9"/>
    <mergeCell ref="BO9:BP9"/>
    <mergeCell ref="BQ9:BR9"/>
    <mergeCell ref="BS9:BT9"/>
    <mergeCell ref="BU9:B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BG1 BI1 BK1 BM1 BO1 BQ1 BS1 BU1 BW1 BY1 CA1 CC1 C9:AM9 AO9 AQ9 AS9 AU9 AW9 AY9 BA9 BC9 BE9 BG9 BI9 BK9 BM9 BO9 BQ9 BS9 BU9 BW9 BY9 CA9 CC9">
    <cfRule type="expression" dxfId="28" priority="41" stopIfTrue="1">
      <formula>NOT(OR("/"=C$1,AVERAGE($C$1:$CD$1)&lt;C$1,SMALL($C$1:$CD$1,1)=C$1,SMALL($C$1:$CD$1,2)=C$1,SMALL($C$1:$CD$1,3)=C$1,LARGE($C$1:$CD$1,1)=C$1,LARGE($C$1:$CD$1,2)=C$1,LARGE($C$1:$CD$1,3)=C$1))</formula>
    </cfRule>
    <cfRule type="expression" dxfId="27" priority="43" stopIfTrue="1">
      <formula>("/"=C$1)</formula>
    </cfRule>
    <cfRule type="expression" dxfId="26" priority="44" stopIfTrue="1">
      <formula>NOT(OR("/"=C$1,AVERAGE($C$1:$CD$1)&gt;C$1,SMALL($C$1:$CD$1,1)=C$1,SMALL($C$1:$CD$1,2)=C$1,SMALL($C$1:$CD$1,3)=C$1,LARGE($C$1:$CD$1,1)=C$1,LARGE($C$1:$CD$1,2)=C$1,LARGE($C$1:$CD$1,3)=C$1))</formula>
    </cfRule>
    <cfRule type="expression" dxfId="25" priority="82" stopIfTrue="1">
      <formula>SMALL($C$1:$CD$1,3)=C$1</formula>
    </cfRule>
    <cfRule type="expression" dxfId="24" priority="84" stopIfTrue="1">
      <formula>SMALL($C$1:$CD$1,1)=C$1</formula>
    </cfRule>
    <cfRule type="expression" dxfId="23" priority="87" stopIfTrue="1">
      <formula>MAX($C$1:$CD$1)=C$1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W9">
    <cfRule type="expression" dxfId="22" priority="83" stopIfTrue="1">
      <formula>SMALL($C$1:$CD$1,2)=C$1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Y9 CA9 CC9 BW9">
    <cfRule type="expression" dxfId="21" priority="86" stopIfTrue="1">
      <formula>LARGE($C$1:$CD$1,2)=C$1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Y9 CA9 CC9">
    <cfRule type="expression" dxfId="20" priority="85" stopIfTrue="1">
      <formula>LARGE($C$1:$CD$1,3)=C$1</formula>
    </cfRule>
  </conditionalFormatting>
  <conditionalFormatting sqref="H10:H106 J10:J106 L10:L106 N10:N106 D10:D199 F10:F199 P10:P199 R10:R199 T10:T199 V10:V199 X10:X199 Z10:Z199 AB10:AB199 AD10:AD199 AF10:AF199 AH10:AH199 AJ10:AJ199 AL10:AL199 AN10:AN199 AP10:AP199 AR10:AR199 AT10:AT199 AV10:AV199 AX10:AX199 AZ10:AZ199 BB10:BB199 BD10:BD199 BF10:BF199 H108:H199 J108:J199 L108:L199 N108:N199">
    <cfRule type="expression" dxfId="19" priority="25" stopIfTrue="1">
      <formula>(C10/D10)&gt;12</formula>
    </cfRule>
    <cfRule type="expression" dxfId="18" priority="27" stopIfTrue="1">
      <formula>(C10/D10)&lt;-2</formula>
    </cfRule>
    <cfRule type="expression" dxfId="17" priority="29" stopIfTrue="1">
      <formula>(C10/D10)&lt;2</formula>
    </cfRule>
    <cfRule type="expression" dxfId="16" priority="31" stopIfTrue="1">
      <formula>(C10/D10)&gt;10</formula>
    </cfRule>
  </conditionalFormatting>
  <conditionalFormatting sqref="S10:S26 G10:G106 I10:I106 K10:K106 M10:M106 C10:C199 E10:E199 O10:O199 Q10:Q199 U10:U199 W10:W199 Y10:Y199 AA10:AA199 AC10:AC199 AE10:AE199 AG10:AG199 AI10:AI199 AK10:AK199 AM10:AM199 AO10:AO199 AQ10:AQ199 AS10:AS199 AU10:AU199 AW10:AW199 AY10:AY199 BA10:BA199 BC10:BC199 BE10:BE199 S29:S199 G108:G199 I108:I199 K108:K199 M108:M199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S28">
    <cfRule type="expression" dxfId="11" priority="92" stopIfTrue="1">
      <formula>(S28/T27)&gt;12</formula>
    </cfRule>
    <cfRule type="expression" dxfId="10" priority="93" stopIfTrue="1">
      <formula>(S28/T27)&lt;-2</formula>
    </cfRule>
    <cfRule type="expression" dxfId="9" priority="94" stopIfTrue="1">
      <formula>(S28/T27)&lt;2</formula>
    </cfRule>
    <cfRule type="expression" dxfId="8" priority="95" stopIfTrue="1">
      <formula>(S28/T27)&gt;10</formula>
    </cfRule>
  </conditionalFormatting>
  <conditionalFormatting sqref="CM120:CM148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CR120:CR141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8"/>
  <sheetViews>
    <sheetView tabSelected="1" zoomScale="88" workbookViewId="0">
      <selection activeCell="F8" sqref="F8"/>
    </sheetView>
  </sheetViews>
  <sheetFormatPr baseColWidth="10" defaultRowHeight="14.4" x14ac:dyDescent="0.3"/>
  <cols>
    <col min="1" max="1" width="11.5546875" style="1"/>
    <col min="2" max="2" width="13.6640625" style="1" customWidth="1"/>
    <col min="3" max="3" width="13" style="1" customWidth="1"/>
    <col min="4" max="4" width="15.5546875" style="1" bestFit="1" customWidth="1"/>
    <col min="5" max="5" width="20.109375" customWidth="1"/>
    <col min="6" max="6" width="21.777343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stat'!CN107:CN116</f>
        <v>légende</v>
      </c>
    </row>
    <row r="2" spans="1:9" x14ac:dyDescent="0.3">
      <c r="A2" s="1" cm="1">
        <f t="array" ref="A2:D28">_xlfn.ANCHORARRAY('All stat'!CJ120)</f>
        <v>1</v>
      </c>
      <c r="B2" s="1" t="str">
        <v>Boris</v>
      </c>
      <c r="C2" s="1" t="str">
        <v>7.242</v>
      </c>
      <c r="D2" s="1">
        <v>1260</v>
      </c>
      <c r="F2" t="str">
        <v>nombre de parties</v>
      </c>
    </row>
    <row r="3" spans="1:9" x14ac:dyDescent="0.3">
      <c r="A3" s="1">
        <v>2</v>
      </c>
      <c r="B3" s="1" t="str">
        <v>Vincent</v>
      </c>
      <c r="C3" s="1" t="str">
        <v>6.750</v>
      </c>
      <c r="D3" s="1">
        <v>20</v>
      </c>
      <c r="F3" t="str">
        <v>entre 1 et 10</v>
      </c>
      <c r="G3" s="23"/>
      <c r="H3" t="str" cm="1">
        <f t="array" ref="H3:I10">'All stat'!CP109:CQ116</f>
        <v>anecdotique</v>
      </c>
      <c r="I3" t="str">
        <v>négligeable</v>
      </c>
    </row>
    <row r="4" spans="1:9" x14ac:dyDescent="0.3">
      <c r="A4" s="1">
        <v>3</v>
      </c>
      <c r="B4" s="1" t="str">
        <v>Gauthier</v>
      </c>
      <c r="C4" s="1" t="str">
        <v>6.670</v>
      </c>
      <c r="D4" s="1">
        <v>100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1">
        <v>4</v>
      </c>
      <c r="B5" s="1" t="str">
        <v>Célian</v>
      </c>
      <c r="C5" s="1" t="str">
        <v>6.326</v>
      </c>
      <c r="D5" s="1">
        <v>411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1">
        <v>5</v>
      </c>
      <c r="B6" s="1" t="str">
        <v>William</v>
      </c>
      <c r="C6" s="1" t="str">
        <v>6.069</v>
      </c>
      <c r="D6" s="1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1">
        <v>6</v>
      </c>
      <c r="B7" s="1" t="str">
        <v>Tom</v>
      </c>
      <c r="C7" s="1" t="str">
        <v>5.938</v>
      </c>
      <c r="D7" s="1">
        <v>357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1">
        <v>7</v>
      </c>
      <c r="B8" s="1" t="str">
        <v>Samuel</v>
      </c>
      <c r="C8" s="1" t="str">
        <v>5.910</v>
      </c>
      <c r="D8" s="1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1">
        <v>8</v>
      </c>
      <c r="B9" s="1" t="str">
        <v>Joachim</v>
      </c>
      <c r="C9" s="1" t="str">
        <v>5.890</v>
      </c>
      <c r="D9" s="1">
        <v>109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1">
        <v>9</v>
      </c>
      <c r="B10" s="1" t="str">
        <v>Mehdi</v>
      </c>
      <c r="C10" s="1" t="str">
        <v>5.595</v>
      </c>
      <c r="D10" s="1">
        <v>444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1">
        <v>10</v>
      </c>
      <c r="B11" s="1" t="str">
        <v>ethan</v>
      </c>
      <c r="C11" s="1" t="str">
        <v>5.500</v>
      </c>
      <c r="D11" s="1">
        <v>22</v>
      </c>
    </row>
    <row r="12" spans="1:9" x14ac:dyDescent="0.3">
      <c r="A12" s="1">
        <v>11</v>
      </c>
      <c r="B12" s="1" t="str">
        <v>Jules</v>
      </c>
      <c r="C12" s="1" t="str">
        <v>5.459</v>
      </c>
      <c r="D12" s="1">
        <v>342</v>
      </c>
    </row>
    <row r="13" spans="1:9" x14ac:dyDescent="0.3">
      <c r="A13" s="1">
        <v>12</v>
      </c>
      <c r="B13" s="1" t="str">
        <v>Achille</v>
      </c>
      <c r="C13" s="1" t="str">
        <v>5.451</v>
      </c>
      <c r="D13" s="1">
        <v>845</v>
      </c>
      <c r="F13" t="s">
        <v>102</v>
      </c>
      <c r="G13">
        <f>AVERAGE('All stat'!C1:CD1)</f>
        <v>5.1890610672104733</v>
      </c>
    </row>
    <row r="14" spans="1:9" x14ac:dyDescent="0.3">
      <c r="A14" s="1">
        <v>13</v>
      </c>
      <c r="B14" s="1" t="str">
        <v>Bruno</v>
      </c>
      <c r="C14" s="1" t="str">
        <v>5.400</v>
      </c>
      <c r="D14" s="1">
        <v>20</v>
      </c>
    </row>
    <row r="15" spans="1:9" x14ac:dyDescent="0.3">
      <c r="A15" s="1">
        <v>14</v>
      </c>
      <c r="B15" s="1" t="str">
        <v>Damien</v>
      </c>
      <c r="C15" s="1" t="str">
        <v>5.396</v>
      </c>
      <c r="D15" s="1">
        <v>804</v>
      </c>
    </row>
    <row r="16" spans="1:9" x14ac:dyDescent="0.3">
      <c r="A16" s="1">
        <v>15</v>
      </c>
      <c r="B16" s="1" t="str">
        <v>gaspard</v>
      </c>
      <c r="C16" s="1" t="str">
        <v>5.342</v>
      </c>
      <c r="D16" s="1">
        <v>76</v>
      </c>
    </row>
    <row r="17" spans="1:4" x14ac:dyDescent="0.3">
      <c r="A17" s="1">
        <v>16</v>
      </c>
      <c r="B17" s="1" t="str">
        <v>Hugo</v>
      </c>
      <c r="C17" s="1" t="str">
        <v>5.225</v>
      </c>
      <c r="D17" s="1">
        <v>40</v>
      </c>
    </row>
    <row r="18" spans="1:4" x14ac:dyDescent="0.3">
      <c r="A18" s="1">
        <v>17</v>
      </c>
      <c r="B18" s="1" t="str">
        <v>Joey</v>
      </c>
      <c r="C18" s="1" t="str">
        <v>5.192</v>
      </c>
      <c r="D18" s="1">
        <v>99</v>
      </c>
    </row>
    <row r="19" spans="1:4" x14ac:dyDescent="0.3">
      <c r="A19" s="1">
        <v>18</v>
      </c>
      <c r="B19" s="1" t="str">
        <v>Marie</v>
      </c>
      <c r="C19" s="1" t="str">
        <v>4.848</v>
      </c>
      <c r="D19" s="1">
        <v>345</v>
      </c>
    </row>
    <row r="20" spans="1:4" x14ac:dyDescent="0.3">
      <c r="A20" s="1">
        <v>19</v>
      </c>
      <c r="B20" s="1" t="str">
        <v>Paul</v>
      </c>
      <c r="C20" s="1" t="str">
        <v>4.813</v>
      </c>
      <c r="D20" s="1">
        <v>32</v>
      </c>
    </row>
    <row r="21" spans="1:4" x14ac:dyDescent="0.3">
      <c r="A21" s="1">
        <v>20</v>
      </c>
      <c r="B21" s="1" t="str">
        <v>Lou</v>
      </c>
      <c r="C21" s="1" t="str">
        <v>4.601</v>
      </c>
      <c r="D21" s="1">
        <v>188</v>
      </c>
    </row>
    <row r="22" spans="1:4" x14ac:dyDescent="0.3">
      <c r="A22" s="1">
        <v>21</v>
      </c>
      <c r="B22" s="1" t="str">
        <v>Émile</v>
      </c>
      <c r="C22" s="1" t="str">
        <v>4.500</v>
      </c>
      <c r="D22" s="1">
        <v>28</v>
      </c>
    </row>
    <row r="23" spans="1:4" x14ac:dyDescent="0.3">
      <c r="A23" s="1">
        <v>22</v>
      </c>
      <c r="B23" s="1" t="str">
        <v>Stanislas</v>
      </c>
      <c r="C23" s="1" t="str">
        <v>4.481</v>
      </c>
      <c r="D23" s="1">
        <v>27</v>
      </c>
    </row>
    <row r="24" spans="1:4" x14ac:dyDescent="0.3">
      <c r="A24" s="1">
        <v>23</v>
      </c>
      <c r="B24" s="1" t="str">
        <v>Quentin</v>
      </c>
      <c r="C24" s="1" t="str">
        <v>4.097</v>
      </c>
      <c r="D24" s="1">
        <v>93</v>
      </c>
    </row>
    <row r="25" spans="1:4" x14ac:dyDescent="0.3">
      <c r="A25" s="1">
        <v>24</v>
      </c>
      <c r="B25" s="1" t="str">
        <v>Fantinne</v>
      </c>
      <c r="C25" s="1" t="str">
        <v>3.644</v>
      </c>
      <c r="D25" s="1">
        <v>59</v>
      </c>
    </row>
    <row r="26" spans="1:4" x14ac:dyDescent="0.3">
      <c r="A26" s="1">
        <v>25</v>
      </c>
      <c r="B26" s="1" t="str">
        <v>Thomas</v>
      </c>
      <c r="C26" s="1" t="str">
        <v>3.357</v>
      </c>
      <c r="D26" s="1">
        <v>28</v>
      </c>
    </row>
    <row r="27" spans="1:4" x14ac:dyDescent="0.3">
      <c r="A27" s="1">
        <v>26</v>
      </c>
      <c r="B27" s="1" t="str">
        <v>Luca</v>
      </c>
      <c r="C27" s="1" t="str">
        <v>3.232</v>
      </c>
      <c r="D27" s="1">
        <v>190</v>
      </c>
    </row>
    <row r="28" spans="1:4" x14ac:dyDescent="0.3">
      <c r="A28" s="1">
        <v>27</v>
      </c>
      <c r="B28" s="1" t="str">
        <v>Loulou</v>
      </c>
      <c r="C28" s="1" t="str">
        <v>3.178</v>
      </c>
      <c r="D28" s="1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2026-06-17T20:09:05Z</dcterms:modified>
</cp:coreProperties>
</file>