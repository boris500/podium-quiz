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461" documentId="8_{848EF4F6-53E4-4B52-9417-5BFB5A888B23}" xr6:coauthVersionLast="47" xr6:coauthVersionMax="47" xr10:uidLastSave="{F13DF6C5-6015-4B59-88A5-06D86B8E0493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96" i="1"/>
  <c r="L6" i="1" s="1"/>
  <c r="K96" i="1"/>
  <c r="K6" i="1" s="1"/>
  <c r="D96" i="1"/>
  <c r="D6" i="1" s="1"/>
  <c r="C96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AM1" i="1" s="1"/>
  <c r="P2" i="1"/>
  <c r="Y7" i="1"/>
  <c r="W7" i="1"/>
  <c r="AK5" i="1"/>
  <c r="M5" i="1"/>
  <c r="AM2" i="1"/>
  <c r="O2" i="1"/>
  <c r="AU3" i="1"/>
  <c r="W3" i="1"/>
  <c r="T2" i="1"/>
  <c r="C7" i="1"/>
  <c r="Z2" i="1"/>
  <c r="Y1" i="1" s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C1" i="1" l="1"/>
  <c r="AQ1" i="1"/>
  <c r="AI1" i="1"/>
  <c r="U1" i="1"/>
  <c r="S1" i="1"/>
  <c r="AA1" i="1"/>
  <c r="O1" i="1"/>
  <c r="C1" i="1"/>
  <c r="BL47" i="1" s="1" a="1"/>
  <c r="AG1" i="1"/>
  <c r="K1" i="1"/>
  <c r="E1" i="1"/>
  <c r="I1" i="1"/>
  <c r="W1" i="1"/>
  <c r="G1" i="1"/>
  <c r="Q1" i="1"/>
  <c r="M1" i="1"/>
  <c r="BL47" i="1" l="1"/>
  <c r="A2" i="2" a="1"/>
  <c r="A2" i="2" s="1"/>
  <c r="BQ47" i="1" a="1"/>
  <c r="BQ47" i="1" s="1"/>
  <c r="BV79" i="1" a="1"/>
  <c r="BV79" i="1" s="1"/>
  <c r="BV105" i="1" a="1"/>
  <c r="BV105" i="1" s="1"/>
  <c r="CA105" i="1" a="1"/>
  <c r="CA105" i="1" s="1"/>
  <c r="BV47" i="1" a="1"/>
  <c r="BV47" i="1" s="1"/>
  <c r="BJ59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<sst xmlns="http://schemas.openxmlformats.org/spreadsheetml/2006/main" count="312" uniqueCount="91">
  <si>
    <t>global</t>
  </si>
  <si>
    <t>moyenne</t>
  </si>
  <si>
    <t>/</t>
  </si>
  <si>
    <t>total (point, partie)</t>
  </si>
  <si>
    <t>q1</t>
  </si>
  <si>
    <t>q2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</si>
  <si>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</si>
  <si>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</si>
  <si>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</si>
  <si>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</si>
  <si>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</si>
  <si>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</si>
  <si>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</si>
  <si>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</si>
  <si>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</si>
  <si>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</si>
  <si>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</si>
  <si>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</si>
  <si>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</si>
  <si>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Jules</t>
  </si>
  <si>
    <t>harrison</t>
  </si>
  <si>
    <t>pascale</t>
  </si>
  <si>
    <t>ok</t>
  </si>
  <si>
    <t>classement</t>
  </si>
  <si>
    <t>&gt;moyenne</t>
  </si>
  <si>
    <t>dernier</t>
  </si>
  <si>
    <t>émile</t>
  </si>
  <si>
    <t>william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</si>
  <si>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</si>
  <si>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</si>
  <si>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</si>
  <si>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</si>
  <si>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</si>
  <si>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</si>
  <si>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</si>
  <si>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</si>
  <si>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</si>
  <si>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</si>
  <si>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maxime_Go</t>
  </si>
  <si>
    <t>Maxime_Ca</t>
  </si>
  <si>
    <t>aurélien</t>
  </si>
  <si>
    <t>cayfas a la feuille</t>
  </si>
  <si>
    <t>achille ?</t>
  </si>
  <si>
    <t>fantinne</t>
  </si>
  <si>
    <t xml:space="preserve">achille ? </t>
  </si>
  <si>
    <t>amélie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</si>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</sst>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26"/>
  <sheetViews>
    <sheetView tabSelected="1" zoomScale="90" zoomScaleNormal="115" workbookViewId="0">
      <selection activeCell="L16" sqref="L16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5.3001293661060798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7.1890574214517873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4.859340659340659</v>
      </c>
      <c r="N1" s="1" t="s">
        <v>2</v>
      </c>
      <c r="O1" s="1">
        <f t="shared" ref="O1" si="6">IF(P2&gt;19,O2/P2,"/")</f>
        <v>8.1428571428571423</v>
      </c>
      <c r="P1" s="1" t="s">
        <v>2</v>
      </c>
      <c r="Q1" s="1">
        <f t="shared" ref="Q1" si="7">IF(R2&gt;19,Q2/R2,"/")</f>
        <v>5.9621621621621621</v>
      </c>
      <c r="R1" s="1" t="s">
        <v>2</v>
      </c>
      <c r="S1" s="1">
        <f t="shared" ref="S1" si="8">IF(T2&gt;19,S2/T2,"/")</f>
        <v>6.2216216216216216</v>
      </c>
      <c r="T1" s="1" t="s">
        <v>2</v>
      </c>
      <c r="U1" s="1">
        <f t="shared" ref="U1" si="9">IF(V2&gt;19,U2/V2,"/")</f>
        <v>3.2013888888888888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4.1382352941176475</v>
      </c>
      <c r="AB1" s="1" t="s">
        <v>2</v>
      </c>
      <c r="AC1" s="1">
        <f>IF(AD2&gt;19,AC2/AD2,"/")</f>
        <v>4.3529411764705879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2.5555555555555554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3.3703703703703702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3.0263157894736841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6.1891891891891895</v>
      </c>
      <c r="BF1" s="1" t="s">
        <v>2</v>
      </c>
    </row>
    <row r="2" spans="1:63" x14ac:dyDescent="0.3">
      <c r="B2" s="1" t="s">
        <v>3</v>
      </c>
      <c r="C2" s="1">
        <f>C4+C6+C8</f>
        <v>4097</v>
      </c>
      <c r="D2" s="1">
        <f>D4+D6+D8</f>
        <v>773</v>
      </c>
      <c r="E2" s="1">
        <f t="shared" ref="E2:J2" si="27">E4+E6+E8</f>
        <v>2429</v>
      </c>
      <c r="F2" s="1">
        <f t="shared" si="27"/>
        <v>421</v>
      </c>
      <c r="G2" s="1">
        <f t="shared" si="27"/>
        <v>6635.5</v>
      </c>
      <c r="H2" s="1">
        <f t="shared" si="27"/>
        <v>923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2211</v>
      </c>
      <c r="N2" s="1">
        <f t="shared" si="28"/>
        <v>455</v>
      </c>
      <c r="O2" s="1">
        <f t="shared" si="28"/>
        <v>399</v>
      </c>
      <c r="P2" s="1">
        <f t="shared" si="28"/>
        <v>49</v>
      </c>
      <c r="Q2" s="1">
        <f t="shared" si="28"/>
        <v>1103</v>
      </c>
      <c r="R2" s="1">
        <f t="shared" si="28"/>
        <v>185</v>
      </c>
      <c r="S2" s="1">
        <f t="shared" si="28"/>
        <v>1151</v>
      </c>
      <c r="T2" s="1">
        <f t="shared" si="28"/>
        <v>185</v>
      </c>
      <c r="U2" s="1">
        <f t="shared" si="28"/>
        <v>461</v>
      </c>
      <c r="V2" s="1">
        <f t="shared" si="28"/>
        <v>144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703.5</v>
      </c>
      <c r="AB2" s="1">
        <f t="shared" si="28"/>
        <v>170</v>
      </c>
      <c r="AC2" s="1">
        <f t="shared" si="28"/>
        <v>296</v>
      </c>
      <c r="AD2" s="1">
        <f t="shared" si="28"/>
        <v>68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92</v>
      </c>
      <c r="AJ2" s="1">
        <f t="shared" si="28"/>
        <v>36</v>
      </c>
      <c r="AK2" s="1">
        <f t="shared" si="28"/>
        <v>121</v>
      </c>
      <c r="AL2" s="1">
        <f t="shared" si="28"/>
        <v>17</v>
      </c>
      <c r="AM2" s="1">
        <f t="shared" si="28"/>
        <v>91</v>
      </c>
      <c r="AN2" s="1">
        <f t="shared" si="28"/>
        <v>27</v>
      </c>
      <c r="AO2" s="1">
        <f t="shared" si="28"/>
        <v>-1</v>
      </c>
      <c r="AP2" s="1">
        <f t="shared" si="28"/>
        <v>12</v>
      </c>
      <c r="AQ2" s="1">
        <f t="shared" si="28"/>
        <v>115</v>
      </c>
      <c r="AR2" s="1">
        <f t="shared" si="28"/>
        <v>38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22</v>
      </c>
      <c r="AZ2" s="1">
        <f t="shared" si="28"/>
        <v>8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229</v>
      </c>
      <c r="BF2" s="1">
        <f t="shared" si="30"/>
        <v>37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70</v>
      </c>
      <c r="BK3" s="1" t="s">
        <v>49</v>
      </c>
    </row>
    <row r="4" spans="1:63" x14ac:dyDescent="0.3">
      <c r="B4" s="1" t="s">
        <v>3</v>
      </c>
      <c r="C4" s="1">
        <f>SUM(C115:C126)</f>
        <v>620</v>
      </c>
      <c r="D4" s="1">
        <f>SUM(D115:D126)</f>
        <v>135</v>
      </c>
      <c r="E4" s="1">
        <f t="shared" ref="E4:J4" si="58">SUM(E115:E126)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SUM(K115:K126)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SUM(BA115:BA126)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SUM(BE115:BE126)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$126,$E$10:$E$126,$G$10:$G$126,$I$10:$I$126,$K$10:$K$126,$M$10:$M$126,$O$10:$O$126,$Q$10:$Q$126,$S$10:$S$126,$U$10:$U$126,$W$10:$W$126,$Y$10:$Y$126,$AA$10:$AA$126,$AC$10:$AC$126,$AE$10:$AE$126,$AG$10:$AG$126,$AI$10:$AI$126,$AK$10:$AK$126,$AM$10:$AM$126,$AO$10:$AO$126,$AQ$10:$AQ$126,$AS$10:$AS$126,$AU$10:$AU$126,$AW$10:$AW$126,$AY$10:$AY$126,$BA$10:$BA$126,$BC$10:$BC$126,$BE$10:$BE$126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$126,$F$10:$F$126,$H$10:$H$126,$J$10:$J$126,$L$10:$L$126,$N$10:$N$126,$P$10:$P$126,$R$10:$R$126,$T$10:$T$126,$V$10:$V$126,$X$10:$X$126,$Z$10:$Z$126,$AB$10:$AB$126,$AD$10:$AD$126,$AF$10:$AF$126,$AH$10:$AH$126,$AJ$10:$AJ$126,$AL$10:$AL$126,$AN$10:$AN$126,$AP$10:$AP$126,$AR$10:$AR$126,$AT$10:$AT$126,$AV$10:$AV$126,$AX$10:$AX$126,$AZ$10:$AZ$126,$BB$10:$BB$126,$BD$10:$BD$126,$BF$10:$BF$126</f>
        <v>#VALUE!</v>
      </c>
    </row>
    <row r="6" spans="1:63" x14ac:dyDescent="0.3">
      <c r="B6" s="1" t="s">
        <v>3</v>
      </c>
      <c r="C6" s="1">
        <f>SUM(C71:C113)</f>
        <v>1804</v>
      </c>
      <c r="D6" s="1">
        <f>SUM(D71:D113)</f>
        <v>370</v>
      </c>
      <c r="E6" s="1">
        <f t="shared" ref="E6:J6" si="89">SUM(E71:E113)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SUM(K71:K113)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SUM(BA71:BA113)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SUM(BE71:BE113)</f>
        <v>0</v>
      </c>
      <c r="BF6" s="1">
        <f t="shared" si="92"/>
        <v>0</v>
      </c>
    </row>
    <row r="7" spans="1:63" x14ac:dyDescent="0.3">
      <c r="A7" s="15" t="s">
        <v>48</v>
      </c>
      <c r="B7" s="15" t="s">
        <v>1</v>
      </c>
      <c r="C7" s="15">
        <f>C8/D8</f>
        <v>6.2425373134328357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7.4937185929648242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5.2247191011235952</v>
      </c>
      <c r="N7" s="15" t="s">
        <v>2</v>
      </c>
      <c r="O7" s="15">
        <f t="shared" ref="O7" si="98">O8/P8</f>
        <v>10</v>
      </c>
      <c r="P7" s="15" t="s">
        <v>2</v>
      </c>
      <c r="Q7" s="15">
        <f t="shared" ref="Q7" si="99">Q8/R8</f>
        <v>6.0636363636363635</v>
      </c>
      <c r="R7" s="15" t="s">
        <v>2</v>
      </c>
      <c r="S7" s="15">
        <f t="shared" ref="S7" si="100">S8/T8</f>
        <v>5.037974683544304</v>
      </c>
      <c r="T7" s="15" t="s">
        <v>2</v>
      </c>
      <c r="U7" s="15">
        <f t="shared" ref="U7" si="101">U8/V8</f>
        <v>3.2549019607843137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4.8944954128440363</v>
      </c>
      <c r="AB7" s="15" t="s">
        <v>2</v>
      </c>
      <c r="AC7" s="15">
        <f t="shared" ref="AC7" si="105">AC8/AD8</f>
        <v>4.8275862068965516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2.5555555555555554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3.3703703703703702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2.5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 t="e">
        <f t="shared" ref="AY7" si="116">AY8/AZ8</f>
        <v>#DIV/0!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6.1891891891891895</v>
      </c>
      <c r="BF7" s="15" t="s">
        <v>2</v>
      </c>
    </row>
    <row r="8" spans="1:63" x14ac:dyDescent="0.3">
      <c r="A8" s="15"/>
      <c r="B8" s="15" t="s">
        <v>3</v>
      </c>
      <c r="C8" s="15">
        <f>SUM(C10:C69)</f>
        <v>1673</v>
      </c>
      <c r="D8" s="15">
        <f>SUM(D10:D69)</f>
        <v>268</v>
      </c>
      <c r="E8" s="15">
        <f t="shared" ref="E8:J8" si="120">SUM(E10:E69)</f>
        <v>849</v>
      </c>
      <c r="F8" s="15">
        <f t="shared" si="120"/>
        <v>126</v>
      </c>
      <c r="G8" s="15">
        <f t="shared" si="120"/>
        <v>2982.5</v>
      </c>
      <c r="H8" s="15">
        <f t="shared" si="120"/>
        <v>398</v>
      </c>
      <c r="I8" s="15">
        <f t="shared" si="120"/>
        <v>181</v>
      </c>
      <c r="J8" s="15">
        <f t="shared" si="120"/>
        <v>60</v>
      </c>
      <c r="K8" s="15">
        <f t="shared" ref="K8:AZ8" si="121">SUM(K10:K69)</f>
        <v>107</v>
      </c>
      <c r="L8" s="15">
        <f t="shared" si="121"/>
        <v>22</v>
      </c>
      <c r="M8" s="15">
        <f t="shared" si="121"/>
        <v>1395</v>
      </c>
      <c r="N8" s="15">
        <f t="shared" si="121"/>
        <v>267</v>
      </c>
      <c r="O8" s="15">
        <f t="shared" si="121"/>
        <v>270</v>
      </c>
      <c r="P8" s="15">
        <f t="shared" si="121"/>
        <v>27</v>
      </c>
      <c r="Q8" s="15">
        <f t="shared" si="121"/>
        <v>667</v>
      </c>
      <c r="R8" s="15">
        <f t="shared" si="121"/>
        <v>110</v>
      </c>
      <c r="S8" s="15">
        <f t="shared" si="121"/>
        <v>398</v>
      </c>
      <c r="T8" s="15">
        <f t="shared" si="121"/>
        <v>79</v>
      </c>
      <c r="U8" s="15">
        <f t="shared" si="121"/>
        <v>332</v>
      </c>
      <c r="V8" s="15">
        <f t="shared" si="121"/>
        <v>102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533.5</v>
      </c>
      <c r="AB8" s="15">
        <f t="shared" si="121"/>
        <v>109</v>
      </c>
      <c r="AC8" s="15">
        <f t="shared" si="121"/>
        <v>280</v>
      </c>
      <c r="AD8" s="15">
        <f t="shared" si="121"/>
        <v>58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92</v>
      </c>
      <c r="AJ8" s="15">
        <f t="shared" si="121"/>
        <v>36</v>
      </c>
      <c r="AK8" s="15">
        <f t="shared" si="121"/>
        <v>0</v>
      </c>
      <c r="AL8" s="15">
        <f t="shared" si="121"/>
        <v>0</v>
      </c>
      <c r="AM8" s="15">
        <f t="shared" si="121"/>
        <v>91</v>
      </c>
      <c r="AN8" s="15">
        <f t="shared" si="121"/>
        <v>27</v>
      </c>
      <c r="AO8" s="15">
        <f t="shared" si="121"/>
        <v>-1</v>
      </c>
      <c r="AP8" s="15">
        <f t="shared" si="121"/>
        <v>12</v>
      </c>
      <c r="AQ8" s="15">
        <f t="shared" si="121"/>
        <v>55</v>
      </c>
      <c r="AR8" s="15">
        <f t="shared" si="121"/>
        <v>22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0</v>
      </c>
      <c r="AZ8" s="15">
        <f t="shared" si="121"/>
        <v>0</v>
      </c>
      <c r="BA8" s="15">
        <f t="shared" ref="BA8:BD8" si="122">SUM(BA10:BA69)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SUM(BE10:BE69)</f>
        <v>229</v>
      </c>
      <c r="BF8" s="15">
        <f t="shared" si="123"/>
        <v>37</v>
      </c>
    </row>
    <row r="9" spans="1:63" x14ac:dyDescent="0.3">
      <c r="C9" s="27" t="s">
        <v>6</v>
      </c>
      <c r="D9" s="27"/>
      <c r="E9" s="27" t="s">
        <v>7</v>
      </c>
      <c r="F9" s="27"/>
      <c r="G9" s="27" t="s">
        <v>8</v>
      </c>
      <c r="H9" s="27"/>
      <c r="I9" s="27" t="s">
        <v>9</v>
      </c>
      <c r="J9" s="27"/>
      <c r="K9" s="27" t="s">
        <v>10</v>
      </c>
      <c r="L9" s="27"/>
      <c r="M9" s="27" t="s">
        <v>11</v>
      </c>
      <c r="N9" s="27"/>
      <c r="O9" s="27" t="s">
        <v>12</v>
      </c>
      <c r="P9" s="27"/>
      <c r="Q9" s="27" t="s">
        <v>13</v>
      </c>
      <c r="R9" s="27"/>
      <c r="S9" s="27" t="s">
        <v>14</v>
      </c>
      <c r="T9" s="27"/>
      <c r="U9" s="27" t="s">
        <v>15</v>
      </c>
      <c r="V9" s="27"/>
      <c r="W9" s="27" t="s">
        <v>16</v>
      </c>
      <c r="X9" s="27"/>
      <c r="Y9" s="27" t="s">
        <v>17</v>
      </c>
      <c r="Z9" s="27"/>
      <c r="AA9" s="27" t="s">
        <v>18</v>
      </c>
      <c r="AB9" s="27"/>
      <c r="AC9" s="27" t="s">
        <v>19</v>
      </c>
      <c r="AD9" s="27"/>
      <c r="AE9" s="27" t="s">
        <v>20</v>
      </c>
      <c r="AF9" s="27"/>
      <c r="AG9" s="27" t="s">
        <v>27</v>
      </c>
      <c r="AH9" s="27"/>
      <c r="AI9" s="27" t="s">
        <v>43</v>
      </c>
      <c r="AJ9" s="27"/>
      <c r="AK9" s="27" t="s">
        <v>21</v>
      </c>
      <c r="AL9" s="27"/>
      <c r="AM9" s="26" t="s">
        <v>60</v>
      </c>
      <c r="AN9" s="26"/>
      <c r="AO9" s="26" t="s">
        <v>36</v>
      </c>
      <c r="AP9" s="26"/>
      <c r="AQ9" s="26" t="s">
        <v>37</v>
      </c>
      <c r="AR9" s="26"/>
      <c r="AS9" s="26" t="s">
        <v>38</v>
      </c>
      <c r="AT9" s="26"/>
      <c r="AU9" s="26" t="s">
        <v>39</v>
      </c>
      <c r="AV9" s="26"/>
      <c r="AW9" s="26" t="s">
        <v>40</v>
      </c>
      <c r="AX9" s="26"/>
      <c r="AY9" s="26" t="s">
        <v>26</v>
      </c>
      <c r="AZ9" s="26"/>
      <c r="BA9" s="27" t="s">
        <v>45</v>
      </c>
      <c r="BB9" s="27"/>
      <c r="BC9" s="27" t="s">
        <v>54</v>
      </c>
      <c r="BD9" s="27"/>
      <c r="BE9" s="27" t="s">
        <v>55</v>
      </c>
      <c r="BF9" s="27"/>
    </row>
    <row r="10" spans="1:63" x14ac:dyDescent="0.3">
      <c r="B10" s="1">
        <v>115</v>
      </c>
    </row>
    <row r="11" spans="1:63" x14ac:dyDescent="0.3">
      <c r="B11" s="1">
        <v>114</v>
      </c>
    </row>
    <row r="12" spans="1:63" x14ac:dyDescent="0.3">
      <c r="B12" s="1">
        <v>113</v>
      </c>
    </row>
    <row r="13" spans="1:63" x14ac:dyDescent="0.3">
      <c r="B13" s="1">
        <v>112</v>
      </c>
      <c r="G13" s="1">
        <v>50</v>
      </c>
      <c r="H13" s="1">
        <v>2</v>
      </c>
    </row>
    <row r="14" spans="1:63" x14ac:dyDescent="0.3">
      <c r="B14" s="1">
        <v>111</v>
      </c>
    </row>
    <row r="15" spans="1:63" x14ac:dyDescent="0.3">
      <c r="B15" s="1">
        <v>110</v>
      </c>
      <c r="M15" s="1">
        <v>36</v>
      </c>
      <c r="N15" s="1">
        <v>7</v>
      </c>
      <c r="Q15" s="1">
        <v>79</v>
      </c>
      <c r="R15" s="1">
        <v>7</v>
      </c>
      <c r="S15" s="1">
        <v>-1</v>
      </c>
      <c r="T15" s="1">
        <v>7</v>
      </c>
      <c r="AC15" s="1">
        <v>47</v>
      </c>
      <c r="AD15" s="1">
        <v>7</v>
      </c>
    </row>
    <row r="16" spans="1:63" x14ac:dyDescent="0.3">
      <c r="B16" s="1">
        <v>109</v>
      </c>
      <c r="G16" s="1">
        <v>40</v>
      </c>
      <c r="H16" s="1">
        <v>3</v>
      </c>
      <c r="Q16" s="1">
        <v>14</v>
      </c>
      <c r="R16" s="1">
        <v>3</v>
      </c>
      <c r="AC16" s="1">
        <v>15</v>
      </c>
      <c r="AD16" s="1">
        <v>3</v>
      </c>
      <c r="AM16" s="1">
        <v>9</v>
      </c>
      <c r="AN16" s="1">
        <v>1</v>
      </c>
      <c r="BE16" s="1">
        <v>17</v>
      </c>
      <c r="BF16" s="1">
        <v>2</v>
      </c>
    </row>
    <row r="17" spans="1:58" x14ac:dyDescent="0.3">
      <c r="B17" s="1">
        <v>108</v>
      </c>
      <c r="Q17" s="1">
        <v>64</v>
      </c>
      <c r="R17" s="1">
        <v>11</v>
      </c>
      <c r="AA17" s="1">
        <v>15</v>
      </c>
      <c r="AB17" s="1">
        <v>11</v>
      </c>
      <c r="AM17" s="1">
        <v>53</v>
      </c>
      <c r="AN17" s="1">
        <v>11</v>
      </c>
      <c r="BE17" s="1">
        <v>96</v>
      </c>
      <c r="BF17" s="1">
        <v>11</v>
      </c>
    </row>
    <row r="18" spans="1:58" x14ac:dyDescent="0.3">
      <c r="B18" s="1">
        <v>107</v>
      </c>
      <c r="G18" s="1">
        <v>77</v>
      </c>
      <c r="H18" s="1">
        <v>7</v>
      </c>
      <c r="M18" s="1">
        <v>63</v>
      </c>
      <c r="N18" s="1">
        <v>7</v>
      </c>
      <c r="S18" s="1">
        <v>14</v>
      </c>
      <c r="T18" s="1">
        <v>7</v>
      </c>
      <c r="AM18" s="1">
        <v>8</v>
      </c>
      <c r="AN18" s="1">
        <v>7</v>
      </c>
    </row>
    <row r="19" spans="1:58" x14ac:dyDescent="0.3">
      <c r="B19" s="1">
        <v>106</v>
      </c>
      <c r="C19" s="1">
        <v>98</v>
      </c>
      <c r="D19" s="1">
        <v>16</v>
      </c>
      <c r="G19" s="1">
        <v>189</v>
      </c>
      <c r="H19" s="1">
        <v>16</v>
      </c>
      <c r="M19" s="1">
        <v>83</v>
      </c>
      <c r="N19" s="1">
        <v>16</v>
      </c>
      <c r="AC19" s="1">
        <v>54</v>
      </c>
      <c r="AD19" s="1">
        <v>16</v>
      </c>
    </row>
    <row r="20" spans="1:58" x14ac:dyDescent="0.3">
      <c r="B20" s="1">
        <v>105</v>
      </c>
      <c r="C20" s="1">
        <v>79</v>
      </c>
      <c r="D20" s="1">
        <v>6</v>
      </c>
      <c r="Q20" s="1">
        <v>9</v>
      </c>
      <c r="R20" s="1">
        <v>7</v>
      </c>
      <c r="AA20" s="1">
        <v>13</v>
      </c>
      <c r="AB20" s="1">
        <v>6</v>
      </c>
      <c r="AC20" s="1">
        <v>21</v>
      </c>
      <c r="AD20" s="1">
        <v>6</v>
      </c>
      <c r="BE20" s="1">
        <v>20</v>
      </c>
      <c r="BF20" s="1">
        <v>7</v>
      </c>
    </row>
    <row r="21" spans="1:58" x14ac:dyDescent="0.3">
      <c r="B21" s="1">
        <v>104</v>
      </c>
      <c r="G21" s="1">
        <v>103</v>
      </c>
      <c r="H21" s="1">
        <v>9</v>
      </c>
      <c r="M21" s="1">
        <v>31</v>
      </c>
      <c r="N21" s="1">
        <v>9</v>
      </c>
      <c r="S21" s="1">
        <v>64</v>
      </c>
      <c r="T21" s="1">
        <v>9</v>
      </c>
      <c r="AA21" s="1">
        <v>62</v>
      </c>
      <c r="AB21" s="1">
        <v>9</v>
      </c>
    </row>
    <row r="22" spans="1:58" x14ac:dyDescent="0.3">
      <c r="B22" s="1">
        <v>103</v>
      </c>
      <c r="G22" s="1">
        <v>172</v>
      </c>
      <c r="H22" s="1">
        <v>17</v>
      </c>
      <c r="M22" s="1">
        <v>81</v>
      </c>
      <c r="N22" s="1">
        <v>17</v>
      </c>
      <c r="AQ22" s="1">
        <v>55</v>
      </c>
      <c r="AR22" s="1">
        <v>17</v>
      </c>
      <c r="BC22" s="1">
        <v>64</v>
      </c>
      <c r="BD22" s="1">
        <v>17</v>
      </c>
      <c r="BE22" s="1">
        <v>96</v>
      </c>
      <c r="BF22" s="1">
        <v>17</v>
      </c>
    </row>
    <row r="23" spans="1:58" x14ac:dyDescent="0.3">
      <c r="B23" s="1">
        <v>102</v>
      </c>
      <c r="G23" s="1">
        <v>12</v>
      </c>
      <c r="H23" s="1">
        <v>5</v>
      </c>
      <c r="M23" s="1">
        <v>56</v>
      </c>
      <c r="N23" s="1">
        <v>5</v>
      </c>
      <c r="S23" s="1">
        <v>41</v>
      </c>
      <c r="T23" s="1">
        <v>5</v>
      </c>
      <c r="AQ23" s="1">
        <v>0</v>
      </c>
      <c r="AR23" s="1">
        <v>5</v>
      </c>
    </row>
    <row r="24" spans="1:58" x14ac:dyDescent="0.3">
      <c r="B24" s="1">
        <v>101</v>
      </c>
      <c r="C24" s="1">
        <v>99</v>
      </c>
      <c r="D24" s="1">
        <v>12</v>
      </c>
      <c r="G24" s="1">
        <v>142</v>
      </c>
      <c r="H24" s="1">
        <v>12</v>
      </c>
      <c r="M24" s="1">
        <v>-30</v>
      </c>
      <c r="N24" s="1">
        <v>12</v>
      </c>
      <c r="AC24" s="1">
        <v>87</v>
      </c>
      <c r="AD24" s="1">
        <v>12</v>
      </c>
      <c r="AI24" s="1">
        <v>50</v>
      </c>
      <c r="AJ24" s="1">
        <v>12</v>
      </c>
    </row>
    <row r="25" spans="1:58" x14ac:dyDescent="0.3">
      <c r="B25" s="1">
        <v>100</v>
      </c>
      <c r="C25" s="1">
        <v>22</v>
      </c>
      <c r="D25" s="1">
        <v>4</v>
      </c>
      <c r="G25" s="1">
        <v>44</v>
      </c>
      <c r="H25" s="1">
        <v>6</v>
      </c>
      <c r="M25" s="1">
        <v>8</v>
      </c>
      <c r="N25" s="1">
        <v>6</v>
      </c>
      <c r="Q25" s="1">
        <v>58</v>
      </c>
      <c r="R25" s="1">
        <v>6</v>
      </c>
      <c r="AC25" s="1">
        <v>48</v>
      </c>
      <c r="AD25" s="1">
        <v>6</v>
      </c>
      <c r="AE25" s="1" t="s">
        <v>50</v>
      </c>
    </row>
    <row r="26" spans="1:58" x14ac:dyDescent="0.3">
      <c r="B26" s="1">
        <v>99</v>
      </c>
      <c r="G26" s="1">
        <v>24</v>
      </c>
      <c r="H26" s="1">
        <v>4</v>
      </c>
      <c r="M26" s="1">
        <v>21</v>
      </c>
      <c r="N26" s="1">
        <v>4</v>
      </c>
      <c r="U26" s="1">
        <v>50</v>
      </c>
      <c r="V26" s="1">
        <v>4</v>
      </c>
      <c r="AC26" s="1">
        <v>0</v>
      </c>
      <c r="AD26" s="1">
        <v>4</v>
      </c>
    </row>
    <row r="27" spans="1:58" x14ac:dyDescent="0.3">
      <c r="A27" s="1" t="s">
        <v>22</v>
      </c>
      <c r="B27" s="1">
        <v>98</v>
      </c>
      <c r="G27" s="1">
        <v>50</v>
      </c>
      <c r="H27" s="1">
        <v>5</v>
      </c>
      <c r="M27" s="1">
        <v>49</v>
      </c>
      <c r="N27" s="1">
        <v>5</v>
      </c>
      <c r="U27" s="1">
        <v>22</v>
      </c>
      <c r="V27" s="1">
        <v>5</v>
      </c>
      <c r="AA27" s="1">
        <v>0</v>
      </c>
      <c r="AB27" s="1">
        <v>5</v>
      </c>
    </row>
    <row r="28" spans="1:58" x14ac:dyDescent="0.3">
      <c r="A28" s="1" t="s">
        <v>22</v>
      </c>
      <c r="B28" s="1">
        <v>97</v>
      </c>
      <c r="C28" s="1">
        <v>60</v>
      </c>
      <c r="D28" s="1">
        <v>8</v>
      </c>
      <c r="G28" s="1">
        <v>-4</v>
      </c>
      <c r="H28" s="1">
        <v>8</v>
      </c>
      <c r="Q28" s="1">
        <v>9</v>
      </c>
      <c r="R28" s="1">
        <v>8</v>
      </c>
      <c r="AA28" s="1">
        <v>67</v>
      </c>
      <c r="AB28" s="1">
        <v>8</v>
      </c>
    </row>
    <row r="29" spans="1:58" x14ac:dyDescent="0.3">
      <c r="A29" s="1" t="s">
        <v>22</v>
      </c>
      <c r="B29" s="1">
        <v>96</v>
      </c>
      <c r="C29" s="1">
        <v>59</v>
      </c>
      <c r="D29" s="1">
        <v>4</v>
      </c>
      <c r="G29" s="1">
        <v>48</v>
      </c>
      <c r="H29" s="1">
        <v>4</v>
      </c>
      <c r="Q29" s="1">
        <v>28</v>
      </c>
      <c r="R29" s="1">
        <v>4</v>
      </c>
      <c r="U29" s="1">
        <v>-31</v>
      </c>
      <c r="V29" s="1">
        <v>4</v>
      </c>
    </row>
    <row r="30" spans="1:58" x14ac:dyDescent="0.3">
      <c r="A30" s="1" t="s">
        <v>22</v>
      </c>
      <c r="B30" s="1">
        <v>95</v>
      </c>
      <c r="C30" s="1">
        <v>46</v>
      </c>
      <c r="D30" s="1">
        <v>8</v>
      </c>
      <c r="G30" s="1">
        <v>90</v>
      </c>
      <c r="H30" s="1">
        <v>8</v>
      </c>
      <c r="Q30" s="1">
        <v>58</v>
      </c>
      <c r="R30" s="1">
        <v>8</v>
      </c>
      <c r="AI30" s="1">
        <v>13</v>
      </c>
      <c r="AJ30" s="1">
        <v>8</v>
      </c>
    </row>
    <row r="31" spans="1:58" x14ac:dyDescent="0.3">
      <c r="A31" s="1" t="s">
        <v>22</v>
      </c>
      <c r="B31" s="1">
        <v>94</v>
      </c>
      <c r="C31" s="1">
        <v>30</v>
      </c>
      <c r="D31" s="1">
        <v>8</v>
      </c>
      <c r="G31" s="1">
        <v>62</v>
      </c>
      <c r="H31" s="1">
        <v>8</v>
      </c>
      <c r="K31" s="1">
        <v>86</v>
      </c>
      <c r="L31" s="1">
        <v>8</v>
      </c>
      <c r="M31" s="1">
        <v>0</v>
      </c>
      <c r="N31" s="1">
        <v>8</v>
      </c>
    </row>
    <row r="32" spans="1:58" x14ac:dyDescent="0.3">
      <c r="A32" s="1" t="s">
        <v>22</v>
      </c>
      <c r="B32" s="1">
        <v>93</v>
      </c>
      <c r="G32" s="1">
        <v>130</v>
      </c>
      <c r="H32" s="1">
        <v>20</v>
      </c>
      <c r="M32" s="1">
        <v>108</v>
      </c>
      <c r="N32" s="1">
        <v>20</v>
      </c>
      <c r="U32" s="1">
        <v>99</v>
      </c>
      <c r="V32" s="1">
        <v>20</v>
      </c>
      <c r="AA32" s="1">
        <v>99</v>
      </c>
      <c r="AB32" s="1">
        <v>20</v>
      </c>
    </row>
    <row r="33" spans="1:75" x14ac:dyDescent="0.3">
      <c r="A33" s="1" t="s">
        <v>22</v>
      </c>
      <c r="B33" s="1">
        <v>92</v>
      </c>
      <c r="C33" s="1">
        <v>13</v>
      </c>
      <c r="D33" s="1">
        <v>4</v>
      </c>
      <c r="G33" s="1">
        <v>25</v>
      </c>
      <c r="H33" s="1">
        <v>4</v>
      </c>
      <c r="M33" s="1">
        <v>13</v>
      </c>
      <c r="N33" s="1">
        <v>4</v>
      </c>
      <c r="U33" s="1">
        <v>34</v>
      </c>
      <c r="V33" s="1">
        <v>4</v>
      </c>
    </row>
    <row r="34" spans="1:75" x14ac:dyDescent="0.3">
      <c r="A34" s="1" t="s">
        <v>22</v>
      </c>
      <c r="B34" s="1">
        <v>91</v>
      </c>
      <c r="G34" s="1">
        <v>123</v>
      </c>
      <c r="H34" s="1">
        <v>16</v>
      </c>
      <c r="M34" s="1">
        <v>108</v>
      </c>
      <c r="N34" s="1">
        <v>16</v>
      </c>
      <c r="Q34" s="1">
        <v>122</v>
      </c>
      <c r="R34" s="1">
        <v>16</v>
      </c>
      <c r="AA34" s="1">
        <v>97</v>
      </c>
      <c r="AB34" s="1">
        <v>16</v>
      </c>
      <c r="BP34" s="1" t="s">
        <v>64</v>
      </c>
      <c r="BR34" s="1" t="s">
        <v>74</v>
      </c>
    </row>
    <row r="35" spans="1:75" x14ac:dyDescent="0.3">
      <c r="A35" s="1" t="s">
        <v>22</v>
      </c>
      <c r="B35" s="1">
        <v>90</v>
      </c>
      <c r="C35" s="1">
        <v>62</v>
      </c>
      <c r="D35" s="1">
        <v>12</v>
      </c>
      <c r="G35" s="1">
        <v>39</v>
      </c>
      <c r="H35" s="1">
        <v>12</v>
      </c>
      <c r="M35" s="1">
        <v>98</v>
      </c>
      <c r="N35" s="1">
        <v>12</v>
      </c>
      <c r="U35" s="1">
        <v>42</v>
      </c>
      <c r="V35" s="1">
        <v>12</v>
      </c>
      <c r="BP35" s="1" t="s">
        <v>63</v>
      </c>
    </row>
    <row r="36" spans="1:75" x14ac:dyDescent="0.3">
      <c r="A36" s="1" t="s">
        <v>22</v>
      </c>
      <c r="B36" s="1">
        <v>89</v>
      </c>
      <c r="C36" s="1">
        <v>34</v>
      </c>
      <c r="D36" s="1">
        <v>5</v>
      </c>
      <c r="G36" s="1">
        <v>67</v>
      </c>
      <c r="H36" s="1">
        <v>5</v>
      </c>
      <c r="M36" s="1">
        <v>9</v>
      </c>
      <c r="N36" s="1">
        <v>5</v>
      </c>
      <c r="Q36" s="1">
        <v>14</v>
      </c>
      <c r="R36" s="1">
        <v>5</v>
      </c>
      <c r="BP36" s="1" t="s">
        <v>72</v>
      </c>
      <c r="BQ36" s="23"/>
      <c r="BR36" s="1" t="s">
        <v>81</v>
      </c>
      <c r="BS36" s="1" t="s">
        <v>84</v>
      </c>
    </row>
    <row r="37" spans="1:75" x14ac:dyDescent="0.3">
      <c r="A37" s="1" t="s">
        <v>22</v>
      </c>
      <c r="B37" s="1">
        <v>88</v>
      </c>
      <c r="C37" s="1">
        <v>8</v>
      </c>
      <c r="D37" s="1">
        <v>4</v>
      </c>
      <c r="G37" s="1">
        <v>46</v>
      </c>
      <c r="H37" s="1">
        <v>4</v>
      </c>
      <c r="M37" s="1">
        <v>23</v>
      </c>
      <c r="N37" s="1">
        <v>4</v>
      </c>
      <c r="S37" s="1">
        <v>6</v>
      </c>
      <c r="T37" s="1">
        <v>4</v>
      </c>
      <c r="BP37" s="1" t="s">
        <v>73</v>
      </c>
      <c r="BQ37" s="24"/>
      <c r="BR37" s="1" t="s">
        <v>82</v>
      </c>
      <c r="BS37" s="1" t="s">
        <v>75</v>
      </c>
    </row>
    <row r="38" spans="1:75" x14ac:dyDescent="0.3">
      <c r="A38" s="1" t="s">
        <v>22</v>
      </c>
      <c r="B38" s="1">
        <v>87</v>
      </c>
      <c r="C38" s="1">
        <v>21</v>
      </c>
      <c r="D38" s="1">
        <v>3</v>
      </c>
      <c r="G38" s="1">
        <v>23</v>
      </c>
      <c r="H38" s="1">
        <v>3</v>
      </c>
      <c r="I38" s="1">
        <v>8</v>
      </c>
      <c r="J38" s="1">
        <v>3</v>
      </c>
      <c r="M38" s="1">
        <v>0</v>
      </c>
      <c r="N38" s="1">
        <v>3</v>
      </c>
      <c r="BP38" s="1" t="s">
        <v>71</v>
      </c>
      <c r="BQ38" s="17"/>
      <c r="BR38" s="1" t="s">
        <v>76</v>
      </c>
      <c r="BS38" s="1" t="s">
        <v>85</v>
      </c>
    </row>
    <row r="39" spans="1:75" x14ac:dyDescent="0.3">
      <c r="A39" s="1" t="s">
        <v>22</v>
      </c>
      <c r="B39" s="1">
        <v>86</v>
      </c>
      <c r="C39" s="1">
        <v>0</v>
      </c>
      <c r="D39" s="1">
        <v>4</v>
      </c>
      <c r="G39" s="1">
        <v>37</v>
      </c>
      <c r="H39" s="1">
        <v>4</v>
      </c>
      <c r="I39" s="1">
        <v>25</v>
      </c>
      <c r="J39" s="1">
        <v>4</v>
      </c>
      <c r="K39" s="1">
        <v>62</v>
      </c>
      <c r="L39" s="1">
        <v>4</v>
      </c>
      <c r="BP39" s="1" t="s">
        <v>65</v>
      </c>
      <c r="BQ39" s="18"/>
      <c r="BR39" s="1" t="s">
        <v>80</v>
      </c>
      <c r="BS39" s="1" t="s">
        <v>86</v>
      </c>
    </row>
    <row r="40" spans="1:75" x14ac:dyDescent="0.3">
      <c r="A40" s="1" t="s">
        <v>22</v>
      </c>
      <c r="B40" s="1">
        <v>85</v>
      </c>
      <c r="C40" s="1">
        <v>93</v>
      </c>
      <c r="D40" s="1">
        <v>8</v>
      </c>
      <c r="G40" s="1">
        <v>13</v>
      </c>
      <c r="H40" s="1">
        <v>8</v>
      </c>
      <c r="S40" s="1">
        <v>81</v>
      </c>
      <c r="T40" s="1">
        <v>8</v>
      </c>
      <c r="AA40" s="1">
        <v>55</v>
      </c>
      <c r="AB40" s="1">
        <v>8</v>
      </c>
      <c r="BP40" s="1" t="s">
        <v>66</v>
      </c>
      <c r="BQ40" s="21"/>
      <c r="BR40" s="1" t="s">
        <v>77</v>
      </c>
      <c r="BS40" s="1" t="s">
        <v>87</v>
      </c>
    </row>
    <row r="41" spans="1:75" x14ac:dyDescent="0.3">
      <c r="A41" s="1" t="s">
        <v>22</v>
      </c>
      <c r="B41" s="1">
        <v>84</v>
      </c>
      <c r="C41" s="1">
        <v>34</v>
      </c>
      <c r="D41" s="1">
        <v>8</v>
      </c>
      <c r="G41" s="1">
        <v>52</v>
      </c>
      <c r="H41" s="1">
        <v>8</v>
      </c>
      <c r="M41" s="1">
        <v>34</v>
      </c>
      <c r="N41" s="1">
        <v>8</v>
      </c>
      <c r="S41" s="1">
        <v>50</v>
      </c>
      <c r="T41" s="1">
        <v>8</v>
      </c>
      <c r="AA41" s="1">
        <v>32</v>
      </c>
      <c r="AB41" s="1">
        <v>8</v>
      </c>
      <c r="BP41" s="1" t="s">
        <v>67</v>
      </c>
      <c r="BQ41" s="19"/>
      <c r="BR41" s="1" t="s">
        <v>78</v>
      </c>
      <c r="BS41" s="1" t="s">
        <v>88</v>
      </c>
    </row>
    <row r="42" spans="1:75" x14ac:dyDescent="0.3">
      <c r="A42" s="1" t="s">
        <v>22</v>
      </c>
      <c r="B42" s="1">
        <v>83</v>
      </c>
      <c r="C42" s="1">
        <v>23</v>
      </c>
      <c r="D42" s="1">
        <v>8</v>
      </c>
      <c r="G42" s="1">
        <v>24</v>
      </c>
      <c r="H42" s="1">
        <v>8</v>
      </c>
      <c r="M42" s="1">
        <v>94</v>
      </c>
      <c r="N42" s="1">
        <v>8</v>
      </c>
      <c r="S42" s="1">
        <v>43</v>
      </c>
      <c r="T42" s="1">
        <v>8</v>
      </c>
      <c r="BP42" s="1" t="s">
        <v>68</v>
      </c>
      <c r="BQ42" s="20"/>
      <c r="BR42" s="1" t="s">
        <v>79</v>
      </c>
      <c r="BS42" s="1" t="s">
        <v>89</v>
      </c>
    </row>
    <row r="43" spans="1:75" x14ac:dyDescent="0.3">
      <c r="A43" s="1" t="s">
        <v>22</v>
      </c>
      <c r="B43" s="1">
        <v>82</v>
      </c>
      <c r="C43" s="1">
        <v>72</v>
      </c>
      <c r="D43" s="1">
        <v>12</v>
      </c>
      <c r="G43" s="1">
        <v>84</v>
      </c>
      <c r="H43" s="1">
        <v>12</v>
      </c>
      <c r="M43" s="1">
        <v>56</v>
      </c>
      <c r="N43" s="1">
        <v>12</v>
      </c>
      <c r="AI43" s="1">
        <v>32</v>
      </c>
      <c r="AJ43" s="1">
        <v>12</v>
      </c>
      <c r="BP43" s="1" t="s">
        <v>69</v>
      </c>
      <c r="BQ43" s="22"/>
      <c r="BR43" s="1" t="s">
        <v>83</v>
      </c>
      <c r="BS43" s="1" t="s">
        <v>90</v>
      </c>
    </row>
    <row r="44" spans="1:75" x14ac:dyDescent="0.3">
      <c r="A44" s="1" t="s">
        <v>22</v>
      </c>
      <c r="B44" s="1">
        <v>81</v>
      </c>
      <c r="C44" s="1">
        <v>29</v>
      </c>
      <c r="D44" s="1">
        <v>5</v>
      </c>
      <c r="E44" s="1">
        <v>33</v>
      </c>
      <c r="F44" s="1">
        <v>6</v>
      </c>
      <c r="G44" s="1">
        <v>30.5</v>
      </c>
      <c r="H44" s="1">
        <v>3</v>
      </c>
      <c r="M44" s="1">
        <v>16</v>
      </c>
      <c r="N44" s="1">
        <v>2</v>
      </c>
      <c r="U44" s="1">
        <v>-20</v>
      </c>
      <c r="V44" s="1">
        <v>5</v>
      </c>
      <c r="AA44" s="1">
        <v>30.5</v>
      </c>
      <c r="AB44" s="1">
        <v>3</v>
      </c>
    </row>
    <row r="45" spans="1:75" x14ac:dyDescent="0.3">
      <c r="A45" s="1" t="s">
        <v>22</v>
      </c>
      <c r="B45" s="1">
        <v>80</v>
      </c>
      <c r="C45" s="1">
        <v>28</v>
      </c>
      <c r="D45" s="1">
        <v>7</v>
      </c>
      <c r="E45" s="1">
        <v>0</v>
      </c>
      <c r="F45" s="1">
        <v>7</v>
      </c>
      <c r="G45" s="1">
        <v>54</v>
      </c>
      <c r="H45" s="1">
        <v>8</v>
      </c>
      <c r="S45" s="1">
        <v>67</v>
      </c>
      <c r="T45" s="1">
        <v>7</v>
      </c>
      <c r="U45" s="1">
        <v>46</v>
      </c>
      <c r="V45" s="1">
        <v>7</v>
      </c>
      <c r="BL45" s="1" t="s">
        <v>23</v>
      </c>
      <c r="BM45" s="1" t="s">
        <v>57</v>
      </c>
      <c r="BN45" s="1" t="s">
        <v>58</v>
      </c>
      <c r="BO45" s="1" t="s">
        <v>63</v>
      </c>
      <c r="BQ45" s="1" t="s">
        <v>61</v>
      </c>
      <c r="BR45" s="1" t="s">
        <v>57</v>
      </c>
      <c r="BS45" s="1" t="s">
        <v>62</v>
      </c>
      <c r="BT45" s="1" t="s">
        <v>63</v>
      </c>
      <c r="BV45" s="1" t="s">
        <v>56</v>
      </c>
    </row>
    <row r="46" spans="1:75" x14ac:dyDescent="0.3">
      <c r="A46" s="1" t="s">
        <v>22</v>
      </c>
      <c r="B46" s="1">
        <v>79</v>
      </c>
      <c r="C46" s="1">
        <v>75</v>
      </c>
      <c r="D46" s="1">
        <v>8</v>
      </c>
      <c r="E46" s="1">
        <v>87</v>
      </c>
      <c r="F46" s="1">
        <v>8</v>
      </c>
      <c r="G46" s="1">
        <v>10</v>
      </c>
      <c r="H46" s="1">
        <v>8</v>
      </c>
      <c r="W46" s="1">
        <v>32</v>
      </c>
      <c r="X46" s="1">
        <v>8</v>
      </c>
    </row>
    <row r="47" spans="1:75" x14ac:dyDescent="0.3">
      <c r="A47" s="1" t="s">
        <v>22</v>
      </c>
      <c r="B47" s="1">
        <v>78</v>
      </c>
      <c r="C47" s="1">
        <v>0</v>
      </c>
      <c r="D47" s="1">
        <v>3</v>
      </c>
      <c r="E47" s="1">
        <v>0</v>
      </c>
      <c r="F47" s="1">
        <v>1</v>
      </c>
      <c r="G47" s="1">
        <v>44</v>
      </c>
      <c r="H47" s="1">
        <v>4</v>
      </c>
      <c r="I47" s="1">
        <v>-14</v>
      </c>
      <c r="J47" s="1">
        <v>2</v>
      </c>
      <c r="M47" s="1">
        <v>33</v>
      </c>
      <c r="N47" s="1">
        <v>4</v>
      </c>
      <c r="W47" s="1">
        <v>-1</v>
      </c>
      <c r="X47" s="1">
        <v>4</v>
      </c>
      <c r="BA47" s="1">
        <v>34</v>
      </c>
      <c r="BB47" s="1">
        <v>2</v>
      </c>
      <c r="BI47" s="2"/>
      <c r="BJ47" s="1" t="s">
        <v>51</v>
      </c>
      <c r="BL47" s="1" cm="1">
        <f t="array" ref="BL47:BO65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47" s="1" t="str">
        <v>gauthier</v>
      </c>
      <c r="BN47" s="1" t="str">
        <v>8.143</v>
      </c>
      <c r="BO47" s="1">
        <v>49</v>
      </c>
      <c r="BQ47" s="1" cm="1">
        <f t="array" ref="BQ47:BT55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47" s="1" t="str">
        <v>amélie</v>
      </c>
      <c r="BS47" s="1" t="str">
        <v>17.000</v>
      </c>
      <c r="BT47" s="1">
        <v>2</v>
      </c>
      <c r="BV47" s="1" t="str" cm="1">
        <f t="array" ref="BV47:BW74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47" s="1">
        <v>8.1428571428571423</v>
      </c>
    </row>
    <row r="48" spans="1:75" x14ac:dyDescent="0.3">
      <c r="A48" s="1" t="s">
        <v>44</v>
      </c>
      <c r="B48" s="1">
        <v>77</v>
      </c>
      <c r="G48" s="1">
        <v>135</v>
      </c>
      <c r="H48" s="1">
        <v>12</v>
      </c>
      <c r="M48" s="1">
        <v>142</v>
      </c>
      <c r="N48" s="1">
        <v>12</v>
      </c>
      <c r="U48" s="1">
        <v>-7</v>
      </c>
      <c r="V48" s="1">
        <v>12</v>
      </c>
      <c r="AA48" s="1">
        <v>20</v>
      </c>
      <c r="AB48" s="1">
        <v>8</v>
      </c>
      <c r="BI48" s="3"/>
      <c r="BJ48" s="1" t="s">
        <v>52</v>
      </c>
      <c r="BL48" s="1">
        <v>2</v>
      </c>
      <c r="BM48" s="1" t="str">
        <v>boris</v>
      </c>
      <c r="BN48" s="1" t="str">
        <v>7.189</v>
      </c>
      <c r="BO48" s="1">
        <v>923</v>
      </c>
      <c r="BQ48" s="1">
        <v>2</v>
      </c>
      <c r="BR48" s="1" t="str">
        <v>Maxime_Ca</v>
      </c>
      <c r="BS48" s="1" t="str">
        <v>8.500</v>
      </c>
      <c r="BT48" s="1">
        <v>4</v>
      </c>
      <c r="BV48" s="1" t="str">
        <v>boris</v>
      </c>
      <c r="BW48" s="1">
        <v>7.1890574214517873</v>
      </c>
    </row>
    <row r="49" spans="1:75" x14ac:dyDescent="0.3">
      <c r="A49" s="1" t="s">
        <v>44</v>
      </c>
      <c r="B49" s="1">
        <v>76</v>
      </c>
      <c r="C49" s="1">
        <v>-9</v>
      </c>
      <c r="D49" s="1">
        <v>4</v>
      </c>
      <c r="E49" s="1">
        <v>39</v>
      </c>
      <c r="F49" s="1">
        <v>4</v>
      </c>
      <c r="G49" s="1">
        <v>45</v>
      </c>
      <c r="H49" s="1">
        <v>4</v>
      </c>
      <c r="AI49" s="1">
        <v>-3</v>
      </c>
      <c r="AJ49" s="1">
        <v>4</v>
      </c>
      <c r="BI49" s="4"/>
      <c r="BJ49" s="1" t="s">
        <v>53</v>
      </c>
      <c r="BL49" s="1">
        <v>3</v>
      </c>
      <c r="BM49" s="1" t="str">
        <v>tom</v>
      </c>
      <c r="BN49" s="1" t="str">
        <v>6.222</v>
      </c>
      <c r="BO49" s="1">
        <v>185</v>
      </c>
      <c r="BQ49" s="1">
        <v>3</v>
      </c>
      <c r="BR49" s="1" t="str">
        <v>pascale</v>
      </c>
      <c r="BS49" s="1" t="str">
        <v>7.118</v>
      </c>
      <c r="BT49" s="1">
        <v>17</v>
      </c>
      <c r="BV49" s="1" t="str">
        <v>tom</v>
      </c>
      <c r="BW49" s="1">
        <v>6.2216216216216216</v>
      </c>
    </row>
    <row r="50" spans="1:75" x14ac:dyDescent="0.3">
      <c r="A50" s="1" t="s">
        <v>41</v>
      </c>
      <c r="B50" s="1">
        <v>75</v>
      </c>
      <c r="C50" s="1">
        <v>20</v>
      </c>
      <c r="D50" s="1">
        <v>4</v>
      </c>
      <c r="G50" s="1">
        <v>58</v>
      </c>
      <c r="H50" s="1">
        <v>4</v>
      </c>
      <c r="U50" s="1">
        <v>-30</v>
      </c>
      <c r="V50" s="1">
        <v>4</v>
      </c>
      <c r="AU50" s="1">
        <v>34</v>
      </c>
      <c r="AV50" s="1">
        <v>4</v>
      </c>
      <c r="BL50" s="1">
        <v>4</v>
      </c>
      <c r="BM50" s="1" t="str">
        <v>joachim</v>
      </c>
      <c r="BN50" s="1" t="str">
        <v>6.202</v>
      </c>
      <c r="BO50" s="1">
        <v>104</v>
      </c>
      <c r="BQ50" s="1">
        <v>4</v>
      </c>
      <c r="BR50" s="1" t="str">
        <v>harrison</v>
      </c>
      <c r="BS50" s="1" t="str">
        <v>5.400</v>
      </c>
      <c r="BT50" s="1">
        <v>5</v>
      </c>
      <c r="BV50" s="1" t="str">
        <v>joachim</v>
      </c>
      <c r="BW50" s="1">
        <v>6.2019230769230766</v>
      </c>
    </row>
    <row r="51" spans="1:75" x14ac:dyDescent="0.3">
      <c r="A51" s="1" t="s">
        <v>22</v>
      </c>
      <c r="B51" s="1">
        <v>74</v>
      </c>
      <c r="C51" s="1">
        <v>27</v>
      </c>
      <c r="D51" s="1">
        <v>4</v>
      </c>
      <c r="G51" s="1">
        <v>13</v>
      </c>
      <c r="H51" s="1">
        <v>4</v>
      </c>
      <c r="M51" s="1">
        <v>29</v>
      </c>
      <c r="N51" s="1">
        <v>4</v>
      </c>
      <c r="U51" s="1">
        <v>21</v>
      </c>
      <c r="V51" s="1">
        <v>4</v>
      </c>
      <c r="BI51" s="5"/>
      <c r="BJ51" s="1" t="s">
        <v>24</v>
      </c>
      <c r="BL51" s="1">
        <v>5</v>
      </c>
      <c r="BM51" s="1" t="str">
        <v>Lou</v>
      </c>
      <c r="BN51" s="1" t="str">
        <v>6.189</v>
      </c>
      <c r="BO51" s="1">
        <v>37</v>
      </c>
      <c r="BQ51" s="1">
        <v>5</v>
      </c>
      <c r="BR51" s="1" t="str">
        <v>Stanislas</v>
      </c>
      <c r="BS51" s="1" t="str">
        <v>3.765</v>
      </c>
      <c r="BT51" s="1">
        <v>17</v>
      </c>
      <c r="BV51" s="1" t="str">
        <v>Lou</v>
      </c>
      <c r="BW51" s="1">
        <v>6.1891891891891895</v>
      </c>
    </row>
    <row r="52" spans="1:75" x14ac:dyDescent="0.3">
      <c r="A52" s="1" t="s">
        <v>22</v>
      </c>
      <c r="B52" s="1">
        <v>73</v>
      </c>
      <c r="C52" s="1">
        <v>92</v>
      </c>
      <c r="D52" s="1">
        <v>7</v>
      </c>
      <c r="G52" s="1">
        <v>27</v>
      </c>
      <c r="H52" s="1">
        <v>7</v>
      </c>
      <c r="U52" s="1">
        <v>-5</v>
      </c>
      <c r="V52" s="1">
        <v>7</v>
      </c>
      <c r="AA52" s="1">
        <v>43</v>
      </c>
      <c r="AB52" s="1">
        <v>7</v>
      </c>
      <c r="BI52" s="10"/>
      <c r="BJ52" s="1" t="s">
        <v>29</v>
      </c>
      <c r="BL52" s="1">
        <v>6</v>
      </c>
      <c r="BM52" s="1" t="str">
        <v>william</v>
      </c>
      <c r="BN52" s="1" t="str">
        <v>6.069</v>
      </c>
      <c r="BO52" s="1">
        <v>29</v>
      </c>
      <c r="BQ52" s="1">
        <v>6</v>
      </c>
      <c r="BR52" s="1" t="str">
        <v>aurélien</v>
      </c>
      <c r="BS52" s="1" t="str">
        <v>2.800</v>
      </c>
      <c r="BT52" s="1">
        <v>5</v>
      </c>
      <c r="BV52" s="1" t="str">
        <v>william</v>
      </c>
      <c r="BW52" s="1">
        <v>6.068965517241379</v>
      </c>
    </row>
    <row r="53" spans="1:75" x14ac:dyDescent="0.3">
      <c r="A53" s="1" t="s">
        <v>22</v>
      </c>
      <c r="B53" s="1">
        <v>72</v>
      </c>
      <c r="C53" s="1">
        <v>11</v>
      </c>
      <c r="D53" s="1">
        <v>1</v>
      </c>
      <c r="G53" s="1">
        <v>11</v>
      </c>
      <c r="H53" s="1">
        <v>1</v>
      </c>
      <c r="M53" s="1">
        <v>-11</v>
      </c>
      <c r="N53" s="1">
        <v>1</v>
      </c>
      <c r="U53" s="1">
        <v>-11</v>
      </c>
      <c r="V53" s="1">
        <v>1</v>
      </c>
      <c r="BI53" s="6"/>
      <c r="BJ53" s="1" t="s">
        <v>28</v>
      </c>
      <c r="BL53" s="1">
        <v>7</v>
      </c>
      <c r="BM53" s="1" t="str">
        <v>célian</v>
      </c>
      <c r="BN53" s="1" t="str">
        <v>5.962</v>
      </c>
      <c r="BO53" s="1">
        <v>185</v>
      </c>
      <c r="BQ53" s="1">
        <v>7</v>
      </c>
      <c r="BR53" s="1" t="str">
        <v>émile</v>
      </c>
      <c r="BS53" s="1" t="str">
        <v>2.750</v>
      </c>
      <c r="BT53" s="1">
        <v>8</v>
      </c>
      <c r="BV53" s="1" t="str">
        <v>célian</v>
      </c>
      <c r="BW53" s="1">
        <v>5.9621621621621621</v>
      </c>
    </row>
    <row r="54" spans="1:75" x14ac:dyDescent="0.3">
      <c r="A54" s="1" t="s">
        <v>22</v>
      </c>
      <c r="B54" s="1">
        <v>71</v>
      </c>
      <c r="C54" s="1">
        <v>31</v>
      </c>
      <c r="D54" s="1">
        <v>5</v>
      </c>
      <c r="G54" s="1">
        <v>25</v>
      </c>
      <c r="H54" s="1">
        <v>5</v>
      </c>
      <c r="U54" s="1">
        <v>41</v>
      </c>
      <c r="V54" s="1">
        <v>5</v>
      </c>
      <c r="AW54" s="1">
        <v>14</v>
      </c>
      <c r="AX54" s="1">
        <v>5</v>
      </c>
      <c r="BL54" s="1">
        <v>8</v>
      </c>
      <c r="BM54" s="1" t="str">
        <v>samuel</v>
      </c>
      <c r="BN54" s="1" t="str">
        <v>5.910</v>
      </c>
      <c r="BO54" s="1">
        <v>211</v>
      </c>
      <c r="BQ54" s="1">
        <v>8</v>
      </c>
      <c r="BR54" s="1" t="str">
        <v>maxime_Go</v>
      </c>
      <c r="BS54" s="1" t="str">
        <v>0.727</v>
      </c>
      <c r="BT54" s="1">
        <v>11</v>
      </c>
      <c r="BV54" s="1" t="str">
        <v>samuel</v>
      </c>
      <c r="BW54" s="1">
        <v>5.9099526066350707</v>
      </c>
    </row>
    <row r="55" spans="1:75" x14ac:dyDescent="0.3">
      <c r="A55" s="15" t="s">
        <v>22</v>
      </c>
      <c r="B55" s="15">
        <v>70</v>
      </c>
      <c r="C55" s="15">
        <v>79</v>
      </c>
      <c r="D55" s="15">
        <v>16</v>
      </c>
      <c r="E55" s="15">
        <v>99</v>
      </c>
      <c r="F55" s="15">
        <v>16</v>
      </c>
      <c r="G55" s="15">
        <v>139</v>
      </c>
      <c r="H55" s="15">
        <v>16</v>
      </c>
      <c r="I55" s="15"/>
      <c r="J55" s="15"/>
      <c r="K55" s="15"/>
      <c r="L55" s="15"/>
      <c r="M55" s="15">
        <v>4</v>
      </c>
      <c r="N55" s="15">
        <v>4</v>
      </c>
      <c r="O55" s="15"/>
      <c r="P55" s="15"/>
      <c r="Q55" s="15"/>
      <c r="R55" s="15"/>
      <c r="S55" s="15"/>
      <c r="T55" s="15"/>
      <c r="U55" s="15"/>
      <c r="V55" s="15"/>
      <c r="W55" s="15">
        <v>-9</v>
      </c>
      <c r="X55" s="15">
        <v>16</v>
      </c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BI55" s="7"/>
      <c r="BJ55" s="1" t="s">
        <v>31</v>
      </c>
      <c r="BL55" s="1">
        <v>9</v>
      </c>
      <c r="BM55" s="1" t="str">
        <v>mehdi</v>
      </c>
      <c r="BN55" s="1" t="str">
        <v>5.770</v>
      </c>
      <c r="BO55" s="1">
        <v>421</v>
      </c>
      <c r="BQ55" s="1">
        <v>9</v>
      </c>
      <c r="BR55" s="1" t="str">
        <v>Robin</v>
      </c>
      <c r="BS55" s="1" t="str">
        <v>-0.083</v>
      </c>
      <c r="BT55" s="1">
        <v>12</v>
      </c>
      <c r="BV55" s="1" t="str">
        <v>mehdi</v>
      </c>
      <c r="BW55" s="1">
        <v>5.7695961995249405</v>
      </c>
    </row>
    <row r="56" spans="1:75" x14ac:dyDescent="0.3">
      <c r="A56" s="15" t="s">
        <v>22</v>
      </c>
      <c r="B56" s="15">
        <v>69</v>
      </c>
      <c r="C56" s="15">
        <v>80</v>
      </c>
      <c r="D56" s="15">
        <v>12</v>
      </c>
      <c r="E56" s="15">
        <v>97</v>
      </c>
      <c r="F56" s="15">
        <v>12</v>
      </c>
      <c r="G56" s="15">
        <v>43</v>
      </c>
      <c r="H56" s="15">
        <v>12</v>
      </c>
      <c r="I56" s="15"/>
      <c r="J56" s="15"/>
      <c r="K56" s="15"/>
      <c r="L56" s="15"/>
      <c r="M56" s="15">
        <v>59</v>
      </c>
      <c r="N56" s="15">
        <v>12</v>
      </c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BI56" s="8"/>
      <c r="BJ56" s="1" t="s">
        <v>30</v>
      </c>
      <c r="BL56" s="1">
        <v>10</v>
      </c>
      <c r="BM56" s="1" t="str">
        <v>achille</v>
      </c>
      <c r="BN56" s="1" t="str">
        <v>5.300</v>
      </c>
      <c r="BO56" s="1">
        <v>773</v>
      </c>
      <c r="BV56" s="1" t="str">
        <v>achille</v>
      </c>
      <c r="BW56" s="1">
        <v>5.3001293661060798</v>
      </c>
    </row>
    <row r="57" spans="1:75" x14ac:dyDescent="0.3">
      <c r="A57" s="15" t="s">
        <v>22</v>
      </c>
      <c r="B57" s="15">
        <v>68</v>
      </c>
      <c r="C57" s="15">
        <v>50</v>
      </c>
      <c r="D57" s="15">
        <v>8</v>
      </c>
      <c r="E57" s="15">
        <v>39</v>
      </c>
      <c r="F57" s="15">
        <v>8</v>
      </c>
      <c r="G57" s="15">
        <v>64</v>
      </c>
      <c r="H57" s="15">
        <v>8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>
        <v>6</v>
      </c>
      <c r="T57" s="15">
        <v>8</v>
      </c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BI57" s="9"/>
      <c r="BJ57" s="1" t="s">
        <v>25</v>
      </c>
      <c r="BL57" s="1">
        <v>11</v>
      </c>
      <c r="BM57" s="1" t="str">
        <v>damien</v>
      </c>
      <c r="BN57" s="1" t="str">
        <v>4.859</v>
      </c>
      <c r="BO57" s="1">
        <v>455</v>
      </c>
      <c r="BV57" s="1" t="str">
        <v>damien</v>
      </c>
      <c r="BW57" s="1">
        <v>4.859340659340659</v>
      </c>
    </row>
    <row r="58" spans="1:75" x14ac:dyDescent="0.3">
      <c r="A58" s="15" t="s">
        <v>22</v>
      </c>
      <c r="B58" s="15">
        <v>67</v>
      </c>
      <c r="C58" s="15">
        <v>19</v>
      </c>
      <c r="D58" s="15">
        <v>3</v>
      </c>
      <c r="E58" s="15"/>
      <c r="F58" s="15"/>
      <c r="G58" s="15">
        <v>8</v>
      </c>
      <c r="H58" s="15">
        <v>3</v>
      </c>
      <c r="I58" s="15">
        <v>19</v>
      </c>
      <c r="J58" s="15">
        <v>3</v>
      </c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>
        <v>8</v>
      </c>
      <c r="AT58" s="15">
        <v>3</v>
      </c>
      <c r="AU58" s="15"/>
      <c r="AV58" s="15"/>
      <c r="AW58" s="15"/>
      <c r="AX58" s="15"/>
      <c r="AY58" s="15"/>
      <c r="BL58" s="1">
        <v>12</v>
      </c>
      <c r="BM58" s="1" t="str">
        <v>paul</v>
      </c>
      <c r="BN58" s="1" t="str">
        <v>4.813</v>
      </c>
      <c r="BO58" s="1">
        <v>32</v>
      </c>
      <c r="BV58" s="1" t="str">
        <v>paul</v>
      </c>
      <c r="BW58" s="1">
        <v>4.8125</v>
      </c>
    </row>
    <row r="59" spans="1:75" x14ac:dyDescent="0.3">
      <c r="A59" s="15" t="s">
        <v>22</v>
      </c>
      <c r="B59" s="15">
        <v>66</v>
      </c>
      <c r="C59" s="15">
        <v>13</v>
      </c>
      <c r="D59" s="15">
        <v>3</v>
      </c>
      <c r="E59" s="15"/>
      <c r="F59" s="15"/>
      <c r="G59" s="15">
        <v>54</v>
      </c>
      <c r="H59" s="15">
        <v>3</v>
      </c>
      <c r="I59" s="15">
        <v>0</v>
      </c>
      <c r="J59" s="15">
        <v>1</v>
      </c>
      <c r="K59" s="15"/>
      <c r="L59" s="15"/>
      <c r="M59" s="15">
        <v>17</v>
      </c>
      <c r="N59" s="15">
        <v>3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>
        <v>0</v>
      </c>
      <c r="AF59" s="15">
        <v>2</v>
      </c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BI59" s="1" t="s">
        <v>1</v>
      </c>
      <c r="BJ59" s="1">
        <f>AVERAGE(C1:BF1)</f>
        <v>5.0182488896632371</v>
      </c>
      <c r="BL59" s="1">
        <v>13</v>
      </c>
      <c r="BM59" s="1" t="str">
        <v>Jules</v>
      </c>
      <c r="BN59" s="1" t="str">
        <v>4.353</v>
      </c>
      <c r="BO59" s="1">
        <v>68</v>
      </c>
      <c r="BV59" s="1" t="str">
        <v>Jules</v>
      </c>
      <c r="BW59" s="1">
        <v>4.3529411764705879</v>
      </c>
    </row>
    <row r="60" spans="1:75" x14ac:dyDescent="0.3">
      <c r="A60" s="15" t="s">
        <v>22</v>
      </c>
      <c r="B60" s="15">
        <v>65</v>
      </c>
      <c r="C60" s="15"/>
      <c r="D60" s="15"/>
      <c r="E60" s="15"/>
      <c r="F60" s="15"/>
      <c r="G60" s="15">
        <v>70</v>
      </c>
      <c r="H60" s="15">
        <v>8</v>
      </c>
      <c r="I60" s="15">
        <v>-9</v>
      </c>
      <c r="J60" s="15">
        <v>8</v>
      </c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>
        <v>81</v>
      </c>
      <c r="V60" s="15">
        <v>8</v>
      </c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>
        <v>0</v>
      </c>
      <c r="AT60" s="15">
        <v>8</v>
      </c>
      <c r="AU60" s="15"/>
      <c r="AV60" s="15"/>
      <c r="AW60" s="15"/>
      <c r="AX60" s="15"/>
      <c r="AY60" s="15"/>
      <c r="BL60" s="1">
        <v>14</v>
      </c>
      <c r="BM60" s="1" t="str">
        <v>marie</v>
      </c>
      <c r="BN60" s="1" t="str">
        <v>4.138</v>
      </c>
      <c r="BO60" s="1">
        <v>170</v>
      </c>
      <c r="BV60" s="1" t="str">
        <v>marie</v>
      </c>
      <c r="BW60" s="1">
        <v>4.1382352941176475</v>
      </c>
    </row>
    <row r="61" spans="1:75" x14ac:dyDescent="0.3">
      <c r="A61" s="15" t="s">
        <v>42</v>
      </c>
      <c r="B61" s="15">
        <v>64</v>
      </c>
      <c r="C61" s="15">
        <v>38</v>
      </c>
      <c r="D61" s="15">
        <v>7</v>
      </c>
      <c r="E61" s="15">
        <v>96</v>
      </c>
      <c r="F61" s="15">
        <v>8</v>
      </c>
      <c r="G61" s="15">
        <v>38</v>
      </c>
      <c r="H61" s="15">
        <v>8</v>
      </c>
      <c r="I61" s="15">
        <v>25</v>
      </c>
      <c r="J61" s="15">
        <v>8</v>
      </c>
      <c r="K61" s="15"/>
      <c r="L61" s="15"/>
      <c r="M61" s="15"/>
      <c r="N61" s="15"/>
      <c r="O61" s="15"/>
      <c r="P61" s="15"/>
      <c r="Q61" s="15">
        <v>25</v>
      </c>
      <c r="R61" s="15">
        <v>5</v>
      </c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BL61" s="1">
        <v>15</v>
      </c>
      <c r="BM61" s="1" t="str">
        <v>Joey</v>
      </c>
      <c r="BN61" s="1" t="str">
        <v>3.370</v>
      </c>
      <c r="BO61" s="1">
        <v>27</v>
      </c>
      <c r="BV61" s="1" t="str">
        <v>Joey</v>
      </c>
      <c r="BW61" s="1">
        <v>3.3703703703703702</v>
      </c>
    </row>
    <row r="62" spans="1:75" x14ac:dyDescent="0.3">
      <c r="A62" s="15" t="s">
        <v>42</v>
      </c>
      <c r="B62" s="15">
        <v>63</v>
      </c>
      <c r="C62" s="15">
        <v>13</v>
      </c>
      <c r="D62" s="15">
        <v>1</v>
      </c>
      <c r="E62" s="15"/>
      <c r="F62" s="15"/>
      <c r="G62" s="15"/>
      <c r="H62" s="15"/>
      <c r="I62" s="15">
        <v>0</v>
      </c>
      <c r="J62" s="15">
        <v>1</v>
      </c>
      <c r="K62" s="15"/>
      <c r="L62" s="15"/>
      <c r="M62" s="15"/>
      <c r="N62" s="15"/>
      <c r="O62" s="15"/>
      <c r="P62" s="15"/>
      <c r="Q62" s="15">
        <v>13</v>
      </c>
      <c r="R62" s="15">
        <v>1</v>
      </c>
      <c r="S62" s="15"/>
      <c r="T62" s="15"/>
      <c r="U62" s="15"/>
      <c r="V62" s="15"/>
      <c r="W62" s="15">
        <v>0</v>
      </c>
      <c r="X62" s="15">
        <v>1</v>
      </c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BJ62" s="1" t="s">
        <v>32</v>
      </c>
      <c r="BL62" s="1">
        <v>16</v>
      </c>
      <c r="BM62" s="1" t="str">
        <v>luca</v>
      </c>
      <c r="BN62" s="1" t="str">
        <v>3.201</v>
      </c>
      <c r="BO62" s="1">
        <v>144</v>
      </c>
      <c r="BV62" s="1" t="str">
        <v>luca</v>
      </c>
      <c r="BW62" s="1">
        <v>3.2013888888888888</v>
      </c>
    </row>
    <row r="63" spans="1:75" x14ac:dyDescent="0.3">
      <c r="A63" s="15" t="s">
        <v>22</v>
      </c>
      <c r="B63" s="15">
        <v>62</v>
      </c>
      <c r="C63" s="15">
        <v>118</v>
      </c>
      <c r="D63" s="15">
        <v>24</v>
      </c>
      <c r="E63" s="15">
        <v>103</v>
      </c>
      <c r="F63" s="15">
        <v>24</v>
      </c>
      <c r="G63" s="15">
        <v>102</v>
      </c>
      <c r="H63" s="15">
        <v>24</v>
      </c>
      <c r="I63" s="15">
        <v>0</v>
      </c>
      <c r="J63" s="15">
        <v>4</v>
      </c>
      <c r="K63" s="15"/>
      <c r="L63" s="15"/>
      <c r="M63" s="15"/>
      <c r="N63" s="15"/>
      <c r="O63" s="15">
        <v>225</v>
      </c>
      <c r="P63" s="15">
        <v>23</v>
      </c>
      <c r="Q63" s="15"/>
      <c r="R63" s="15"/>
      <c r="S63" s="15"/>
      <c r="T63" s="15"/>
      <c r="U63" s="15"/>
      <c r="V63" s="15"/>
      <c r="W63" s="15">
        <v>11</v>
      </c>
      <c r="X63" s="15">
        <v>1</v>
      </c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BI63" s="11"/>
      <c r="BJ63" s="1" t="s">
        <v>59</v>
      </c>
      <c r="BL63" s="1">
        <v>17</v>
      </c>
      <c r="BM63" s="1" t="str">
        <v>Quentin</v>
      </c>
      <c r="BN63" s="1" t="str">
        <v>3.026</v>
      </c>
      <c r="BO63" s="1">
        <v>38</v>
      </c>
      <c r="BV63" s="1" t="str">
        <v>Quentin</v>
      </c>
      <c r="BW63" s="1">
        <v>3.0263157894736841</v>
      </c>
    </row>
    <row r="64" spans="1:75" x14ac:dyDescent="0.3">
      <c r="A64" s="15" t="s">
        <v>22</v>
      </c>
      <c r="B64" s="15">
        <v>61</v>
      </c>
      <c r="C64" s="15"/>
      <c r="D64" s="15"/>
      <c r="E64" s="15">
        <v>11</v>
      </c>
      <c r="F64" s="15">
        <v>4</v>
      </c>
      <c r="G64" s="15"/>
      <c r="H64" s="15"/>
      <c r="I64" s="15"/>
      <c r="J64" s="15"/>
      <c r="K64" s="15"/>
      <c r="L64" s="15"/>
      <c r="M64" s="15">
        <v>46</v>
      </c>
      <c r="N64" s="15">
        <v>4</v>
      </c>
      <c r="O64" s="15">
        <v>45</v>
      </c>
      <c r="P64" s="15">
        <v>4</v>
      </c>
      <c r="Q64" s="15">
        <v>0</v>
      </c>
      <c r="R64" s="15">
        <v>4</v>
      </c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BI64" s="14"/>
      <c r="BJ64" s="1" t="s">
        <v>34</v>
      </c>
      <c r="BL64" s="1">
        <v>18</v>
      </c>
      <c r="BM64" s="1" t="str">
        <v>fantinne</v>
      </c>
      <c r="BN64" s="1" t="str">
        <v>2.556</v>
      </c>
      <c r="BO64" s="1">
        <v>36</v>
      </c>
      <c r="BV64" s="1" t="str">
        <v>fantinne</v>
      </c>
      <c r="BW64" s="1">
        <v>2.5555555555555554</v>
      </c>
    </row>
    <row r="65" spans="1:77" x14ac:dyDescent="0.3">
      <c r="A65" s="15" t="s">
        <v>22</v>
      </c>
      <c r="B65" s="15">
        <v>60</v>
      </c>
      <c r="C65" s="15">
        <v>106</v>
      </c>
      <c r="D65" s="15">
        <v>12</v>
      </c>
      <c r="E65" s="15"/>
      <c r="F65" s="15"/>
      <c r="G65" s="15">
        <v>88</v>
      </c>
      <c r="H65" s="15">
        <v>12</v>
      </c>
      <c r="I65" s="15"/>
      <c r="J65" s="15"/>
      <c r="K65" s="15"/>
      <c r="L65" s="15"/>
      <c r="M65" s="15">
        <v>31</v>
      </c>
      <c r="N65" s="15">
        <v>12</v>
      </c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>
        <v>8</v>
      </c>
      <c r="AD65" s="15">
        <v>4</v>
      </c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>
        <v>-1</v>
      </c>
      <c r="AP65" s="15">
        <v>12</v>
      </c>
      <c r="AQ65" s="15"/>
      <c r="AR65" s="15"/>
      <c r="AS65" s="15"/>
      <c r="AT65" s="15"/>
      <c r="AU65" s="15"/>
      <c r="AV65" s="15"/>
      <c r="AW65" s="15"/>
      <c r="AX65" s="15"/>
      <c r="AY65" s="15"/>
      <c r="BI65" s="13"/>
      <c r="BJ65" s="1" t="s">
        <v>35</v>
      </c>
      <c r="BL65" s="1">
        <v>19</v>
      </c>
      <c r="BM65" s="1" t="str">
        <v>loulou</v>
      </c>
      <c r="BN65" s="1" t="str">
        <v>2.075</v>
      </c>
      <c r="BO65" s="1">
        <v>67</v>
      </c>
      <c r="BV65" s="1" t="str">
        <v>loulou</v>
      </c>
      <c r="BW65" s="1">
        <v>2.0746268656716418</v>
      </c>
    </row>
    <row r="66" spans="1:77" x14ac:dyDescent="0.3">
      <c r="A66" s="15" t="s">
        <v>22</v>
      </c>
      <c r="B66" s="15">
        <v>59</v>
      </c>
      <c r="C66" s="15"/>
      <c r="D66" s="15"/>
      <c r="E66" s="15">
        <v>129</v>
      </c>
      <c r="F66" s="15">
        <v>10</v>
      </c>
      <c r="G66" s="15"/>
      <c r="H66" s="15"/>
      <c r="I66" s="15">
        <v>17</v>
      </c>
      <c r="J66" s="15">
        <v>10</v>
      </c>
      <c r="K66" s="15">
        <v>-41</v>
      </c>
      <c r="L66" s="15">
        <v>10</v>
      </c>
      <c r="M66" s="15">
        <v>62</v>
      </c>
      <c r="N66" s="15">
        <v>10</v>
      </c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BI66" s="12"/>
      <c r="BJ66" s="1" t="s">
        <v>33</v>
      </c>
      <c r="BV66" s="1" t="str">
        <v>harrison</v>
      </c>
      <c r="BW66" s="1" t="str">
        <v>/</v>
      </c>
    </row>
    <row r="67" spans="1:77" x14ac:dyDescent="0.3">
      <c r="A67" s="15" t="s">
        <v>22</v>
      </c>
      <c r="B67" s="15">
        <v>58</v>
      </c>
      <c r="C67" s="15"/>
      <c r="D67" s="15"/>
      <c r="E67" s="15">
        <v>49</v>
      </c>
      <c r="F67" s="15">
        <v>14</v>
      </c>
      <c r="G67" s="15">
        <v>60</v>
      </c>
      <c r="H67" s="15">
        <v>14</v>
      </c>
      <c r="I67" s="15">
        <v>94</v>
      </c>
      <c r="J67" s="15">
        <v>14</v>
      </c>
      <c r="K67" s="15"/>
      <c r="L67" s="15"/>
      <c r="M67" s="15"/>
      <c r="N67" s="15"/>
      <c r="O67" s="15"/>
      <c r="P67" s="15"/>
      <c r="Q67" s="15">
        <v>70</v>
      </c>
      <c r="R67" s="15">
        <v>14</v>
      </c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BV67" s="1" t="str">
        <v>pascale</v>
      </c>
      <c r="BW67" s="1" t="str">
        <v>/</v>
      </c>
    </row>
    <row r="68" spans="1:77" x14ac:dyDescent="0.3">
      <c r="A68" s="15" t="s">
        <v>22</v>
      </c>
      <c r="B68" s="15">
        <v>57</v>
      </c>
      <c r="C68" s="15"/>
      <c r="D68" s="15"/>
      <c r="E68" s="15">
        <v>67</v>
      </c>
      <c r="F68" s="15">
        <v>4</v>
      </c>
      <c r="G68" s="15">
        <v>36</v>
      </c>
      <c r="H68" s="15">
        <v>4</v>
      </c>
      <c r="I68" s="15">
        <v>16</v>
      </c>
      <c r="J68" s="15">
        <v>2</v>
      </c>
      <c r="K68" s="15"/>
      <c r="L68" s="15"/>
      <c r="M68" s="15">
        <v>-24</v>
      </c>
      <c r="N68" s="15">
        <v>3</v>
      </c>
      <c r="O68" s="15"/>
      <c r="P68" s="15"/>
      <c r="Q68" s="15">
        <v>31</v>
      </c>
      <c r="R68" s="15">
        <v>3</v>
      </c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BV68" s="1" t="str">
        <v>Robin</v>
      </c>
      <c r="BW68" s="1" t="str">
        <v>/</v>
      </c>
    </row>
    <row r="69" spans="1:77" x14ac:dyDescent="0.3">
      <c r="A69" s="15" t="s">
        <v>22</v>
      </c>
      <c r="B69" s="15">
        <v>56</v>
      </c>
      <c r="C69" s="15"/>
      <c r="D69" s="15"/>
      <c r="E69" s="15"/>
      <c r="F69" s="15"/>
      <c r="G69" s="15">
        <v>66</v>
      </c>
      <c r="H69" s="15">
        <v>8</v>
      </c>
      <c r="I69" s="15"/>
      <c r="J69" s="15"/>
      <c r="K69" s="15"/>
      <c r="L69" s="15"/>
      <c r="M69" s="15">
        <v>50</v>
      </c>
      <c r="N69" s="15">
        <v>8</v>
      </c>
      <c r="O69" s="15"/>
      <c r="P69" s="15"/>
      <c r="Q69" s="15">
        <v>73</v>
      </c>
      <c r="R69" s="15">
        <v>8</v>
      </c>
      <c r="S69" s="15">
        <v>27</v>
      </c>
      <c r="T69" s="15">
        <v>8</v>
      </c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>
        <v>21</v>
      </c>
      <c r="AN69" s="15">
        <v>8</v>
      </c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BV69" s="1" t="str">
        <v>maxime_Go</v>
      </c>
      <c r="BW69" s="1" t="str">
        <v>/</v>
      </c>
    </row>
    <row r="70" spans="1:77" x14ac:dyDescent="0.3">
      <c r="A70" s="15" t="s">
        <v>46</v>
      </c>
      <c r="B70" s="15" t="s">
        <v>47</v>
      </c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BV70" s="1" t="str">
        <v>Maxime_Ca</v>
      </c>
      <c r="BW70" s="1" t="str">
        <v>/</v>
      </c>
    </row>
    <row r="71" spans="1:77" x14ac:dyDescent="0.3">
      <c r="A71" s="15" t="s">
        <v>22</v>
      </c>
      <c r="B71" s="15">
        <v>55</v>
      </c>
      <c r="C71" s="15">
        <v>100</v>
      </c>
      <c r="D71" s="15">
        <v>16</v>
      </c>
      <c r="E71" s="15"/>
      <c r="F71" s="15"/>
      <c r="G71" s="15">
        <v>188</v>
      </c>
      <c r="H71" s="15">
        <v>16</v>
      </c>
      <c r="I71" s="15"/>
      <c r="J71" s="15"/>
      <c r="K71" s="15"/>
      <c r="L71" s="15"/>
      <c r="M71" s="15">
        <v>34</v>
      </c>
      <c r="N71" s="15">
        <v>16</v>
      </c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>
        <v>60</v>
      </c>
      <c r="AR71" s="15">
        <v>16</v>
      </c>
      <c r="AS71" s="15"/>
      <c r="AT71" s="15"/>
      <c r="AU71" s="15"/>
      <c r="AV71" s="15"/>
      <c r="AW71" s="15"/>
      <c r="AX71" s="15"/>
      <c r="AY71" s="15"/>
      <c r="BV71" s="1" t="str">
        <v>aurélien</v>
      </c>
      <c r="BW71" s="1" t="str">
        <v>/</v>
      </c>
    </row>
    <row r="72" spans="1:77" x14ac:dyDescent="0.3">
      <c r="A72" s="15" t="s">
        <v>22</v>
      </c>
      <c r="B72" s="15">
        <v>54</v>
      </c>
      <c r="C72" s="15">
        <v>23</v>
      </c>
      <c r="D72" s="15">
        <v>5</v>
      </c>
      <c r="E72" s="15">
        <v>29</v>
      </c>
      <c r="F72" s="15">
        <v>6</v>
      </c>
      <c r="G72" s="15">
        <v>25</v>
      </c>
      <c r="H72" s="15">
        <v>5</v>
      </c>
      <c r="I72" s="15">
        <v>42</v>
      </c>
      <c r="J72" s="15">
        <v>6</v>
      </c>
      <c r="K72" s="15"/>
      <c r="L72" s="15"/>
      <c r="M72" s="15">
        <v>-14</v>
      </c>
      <c r="N72" s="15">
        <v>2</v>
      </c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BV72" s="1" t="str">
        <v>émile</v>
      </c>
      <c r="BW72" s="1" t="str">
        <v>/</v>
      </c>
    </row>
    <row r="73" spans="1:77" x14ac:dyDescent="0.3">
      <c r="A73" s="15" t="s">
        <v>22</v>
      </c>
      <c r="B73" s="15">
        <v>53</v>
      </c>
      <c r="C73" s="15">
        <v>45</v>
      </c>
      <c r="D73" s="15">
        <v>8</v>
      </c>
      <c r="E73" s="15"/>
      <c r="F73" s="15"/>
      <c r="G73" s="15">
        <v>68</v>
      </c>
      <c r="H73" s="15">
        <v>8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>
        <v>-4</v>
      </c>
      <c r="AB73" s="15">
        <v>8</v>
      </c>
      <c r="AC73" s="15"/>
      <c r="AD73" s="15"/>
      <c r="AE73" s="15"/>
      <c r="AF73" s="15"/>
      <c r="AG73" s="15">
        <v>91</v>
      </c>
      <c r="AH73" s="15">
        <v>8</v>
      </c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BV73" s="1" t="str">
        <v>amélie</v>
      </c>
      <c r="BW73" s="1" t="str">
        <v>/</v>
      </c>
    </row>
    <row r="74" spans="1:77" x14ac:dyDescent="0.3">
      <c r="A74" s="15" t="s">
        <v>22</v>
      </c>
      <c r="B74" s="15">
        <v>52</v>
      </c>
      <c r="C74" s="15"/>
      <c r="D74" s="15"/>
      <c r="E74" s="15"/>
      <c r="F74" s="15"/>
      <c r="G74" s="15">
        <v>94</v>
      </c>
      <c r="H74" s="15">
        <v>16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>
        <v>42</v>
      </c>
      <c r="V74" s="15">
        <v>16</v>
      </c>
      <c r="W74" s="15"/>
      <c r="X74" s="15"/>
      <c r="Y74" s="15"/>
      <c r="Z74" s="15"/>
      <c r="AA74" s="15">
        <v>75</v>
      </c>
      <c r="AB74" s="15">
        <v>16</v>
      </c>
      <c r="AC74" s="15"/>
      <c r="AD74" s="15"/>
      <c r="AE74" s="15"/>
      <c r="AF74" s="15"/>
      <c r="AG74" s="15">
        <v>64</v>
      </c>
      <c r="AH74" s="15">
        <v>16</v>
      </c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BV74" s="1" t="str">
        <v>Stanislas</v>
      </c>
      <c r="BW74" s="1" t="str">
        <v>/</v>
      </c>
    </row>
    <row r="75" spans="1:77" x14ac:dyDescent="0.3">
      <c r="A75" s="15" t="s">
        <v>22</v>
      </c>
      <c r="B75" s="15">
        <v>51</v>
      </c>
      <c r="C75" s="15">
        <v>37</v>
      </c>
      <c r="D75" s="15">
        <v>14</v>
      </c>
      <c r="E75" s="15"/>
      <c r="F75" s="15"/>
      <c r="G75" s="15">
        <v>105</v>
      </c>
      <c r="H75" s="15">
        <v>14</v>
      </c>
      <c r="I75" s="15"/>
      <c r="J75" s="15"/>
      <c r="K75" s="15"/>
      <c r="L75" s="15"/>
      <c r="M75" s="15">
        <v>84</v>
      </c>
      <c r="N75" s="15">
        <v>14</v>
      </c>
      <c r="O75" s="15"/>
      <c r="P75" s="15"/>
      <c r="Q75" s="15"/>
      <c r="R75" s="15"/>
      <c r="S75" s="15">
        <v>91</v>
      </c>
      <c r="T75" s="15">
        <v>14</v>
      </c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</row>
    <row r="76" spans="1:77" x14ac:dyDescent="0.3">
      <c r="A76" s="15" t="s">
        <v>22</v>
      </c>
      <c r="B76" s="15">
        <v>50</v>
      </c>
      <c r="C76" s="15">
        <v>32</v>
      </c>
      <c r="D76" s="15">
        <v>7</v>
      </c>
      <c r="E76" s="15"/>
      <c r="F76" s="15"/>
      <c r="G76" s="15">
        <v>50</v>
      </c>
      <c r="H76" s="15">
        <v>7</v>
      </c>
      <c r="I76" s="15"/>
      <c r="J76" s="15"/>
      <c r="K76" s="15"/>
      <c r="L76" s="15"/>
      <c r="M76" s="15">
        <v>40</v>
      </c>
      <c r="N76" s="15">
        <v>7</v>
      </c>
      <c r="O76" s="15"/>
      <c r="P76" s="15"/>
      <c r="Q76" s="15"/>
      <c r="R76" s="15"/>
      <c r="S76" s="15">
        <v>38</v>
      </c>
      <c r="T76" s="15">
        <v>7</v>
      </c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</row>
    <row r="77" spans="1:77" x14ac:dyDescent="0.3">
      <c r="A77" s="15" t="s">
        <v>22</v>
      </c>
      <c r="B77" s="15">
        <v>49</v>
      </c>
      <c r="C77" s="15">
        <v>47</v>
      </c>
      <c r="D77" s="15">
        <v>9</v>
      </c>
      <c r="E77" s="15"/>
      <c r="F77" s="15"/>
      <c r="G77" s="15">
        <v>94</v>
      </c>
      <c r="H77" s="15">
        <v>9</v>
      </c>
      <c r="I77" s="15"/>
      <c r="J77" s="15"/>
      <c r="K77" s="15">
        <v>13</v>
      </c>
      <c r="L77" s="15">
        <v>2</v>
      </c>
      <c r="M77" s="15">
        <v>47</v>
      </c>
      <c r="N77" s="15">
        <v>7</v>
      </c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>
        <v>14</v>
      </c>
      <c r="AB77" s="15">
        <v>9</v>
      </c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</row>
    <row r="78" spans="1:77" x14ac:dyDescent="0.3">
      <c r="A78" s="15" t="s">
        <v>22</v>
      </c>
      <c r="B78" s="15">
        <v>48</v>
      </c>
      <c r="C78" s="15">
        <v>90</v>
      </c>
      <c r="D78" s="15">
        <v>7</v>
      </c>
      <c r="E78" s="15"/>
      <c r="F78" s="15"/>
      <c r="G78" s="15">
        <v>48</v>
      </c>
      <c r="H78" s="15">
        <v>7</v>
      </c>
      <c r="I78" s="15"/>
      <c r="J78" s="15"/>
      <c r="K78" s="15"/>
      <c r="L78" s="15"/>
      <c r="M78" s="15">
        <v>1</v>
      </c>
      <c r="N78" s="15">
        <v>7</v>
      </c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>
        <v>-4</v>
      </c>
      <c r="AB78" s="15">
        <v>7</v>
      </c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</row>
    <row r="79" spans="1:77" x14ac:dyDescent="0.3">
      <c r="A79" s="15" t="s">
        <v>22</v>
      </c>
      <c r="B79" s="15">
        <v>47</v>
      </c>
      <c r="C79" s="15">
        <v>87</v>
      </c>
      <c r="D79" s="15">
        <v>5</v>
      </c>
      <c r="E79" s="15"/>
      <c r="F79" s="15"/>
      <c r="G79" s="15">
        <v>11</v>
      </c>
      <c r="H79" s="15">
        <v>5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>
        <v>21</v>
      </c>
      <c r="V79" s="15">
        <v>5</v>
      </c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>
        <v>21</v>
      </c>
      <c r="AH79" s="15">
        <v>5</v>
      </c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BV79" s="1" cm="1">
        <f t="array" ref="BV79:BY97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79" s="1" t="str">
        <v>gauthier</v>
      </c>
      <c r="BX79" s="1">
        <v>8.1430000000000007</v>
      </c>
      <c r="BY79" s="1">
        <v>49</v>
      </c>
    </row>
    <row r="80" spans="1:77" x14ac:dyDescent="0.3">
      <c r="A80" s="15" t="s">
        <v>22</v>
      </c>
      <c r="B80" s="15">
        <v>46</v>
      </c>
      <c r="C80" s="15">
        <v>29</v>
      </c>
      <c r="D80" s="15">
        <v>12</v>
      </c>
      <c r="E80" s="15"/>
      <c r="F80" s="15"/>
      <c r="G80" s="15">
        <v>78</v>
      </c>
      <c r="H80" s="15">
        <v>13</v>
      </c>
      <c r="I80" s="15"/>
      <c r="J80" s="15"/>
      <c r="K80" s="15">
        <v>93</v>
      </c>
      <c r="L80" s="15">
        <v>12</v>
      </c>
      <c r="M80" s="15">
        <v>32</v>
      </c>
      <c r="N80" s="15">
        <v>11</v>
      </c>
      <c r="O80" s="15"/>
      <c r="P80" s="15"/>
      <c r="Q80" s="15"/>
      <c r="R80" s="15"/>
      <c r="S80" s="15">
        <v>119</v>
      </c>
      <c r="T80" s="15">
        <v>12</v>
      </c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V80" s="1">
        <v>2</v>
      </c>
      <c r="BW80" s="1" t="str">
        <v>boris</v>
      </c>
      <c r="BX80" s="1">
        <v>7.1890000000000001</v>
      </c>
      <c r="BY80" s="1">
        <v>923</v>
      </c>
    </row>
    <row r="81" spans="1:77" x14ac:dyDescent="0.3">
      <c r="A81" s="15" t="s">
        <v>22</v>
      </c>
      <c r="B81" s="15">
        <v>45</v>
      </c>
      <c r="C81" s="15">
        <v>102</v>
      </c>
      <c r="D81" s="15">
        <v>16</v>
      </c>
      <c r="E81" s="15"/>
      <c r="F81" s="15"/>
      <c r="G81" s="15">
        <v>138</v>
      </c>
      <c r="H81" s="15">
        <v>16</v>
      </c>
      <c r="I81" s="15"/>
      <c r="J81" s="15"/>
      <c r="K81" s="15">
        <v>51</v>
      </c>
      <c r="L81" s="15">
        <v>8</v>
      </c>
      <c r="M81" s="15">
        <v>5</v>
      </c>
      <c r="N81" s="15">
        <v>8</v>
      </c>
      <c r="O81" s="15"/>
      <c r="P81" s="15"/>
      <c r="Q81" s="15"/>
      <c r="R81" s="15"/>
      <c r="S81" s="15">
        <v>116</v>
      </c>
      <c r="T81" s="15">
        <v>16</v>
      </c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V81" s="1">
        <v>3</v>
      </c>
      <c r="BW81" s="1" t="str">
        <v>tom</v>
      </c>
      <c r="BX81" s="1">
        <v>6.2220000000000004</v>
      </c>
      <c r="BY81" s="1">
        <v>185</v>
      </c>
    </row>
    <row r="82" spans="1:77" x14ac:dyDescent="0.3">
      <c r="A82" s="15" t="s">
        <v>22</v>
      </c>
      <c r="B82" s="15">
        <v>44</v>
      </c>
      <c r="C82" s="15">
        <v>104</v>
      </c>
      <c r="D82" s="15">
        <v>20</v>
      </c>
      <c r="E82" s="15">
        <v>119</v>
      </c>
      <c r="F82" s="15">
        <v>20</v>
      </c>
      <c r="G82" s="15">
        <v>128</v>
      </c>
      <c r="H82" s="15">
        <v>20</v>
      </c>
      <c r="I82" s="15"/>
      <c r="J82" s="15"/>
      <c r="K82" s="15"/>
      <c r="L82" s="15"/>
      <c r="M82" s="15"/>
      <c r="N82" s="15"/>
      <c r="O82" s="15"/>
      <c r="P82" s="15"/>
      <c r="Q82" s="15">
        <v>143</v>
      </c>
      <c r="R82" s="15">
        <v>20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V82" s="1">
        <v>4</v>
      </c>
      <c r="BW82" s="1" t="str">
        <v>joachim</v>
      </c>
      <c r="BX82" s="1">
        <v>6.202</v>
      </c>
      <c r="BY82" s="1">
        <v>104</v>
      </c>
    </row>
    <row r="83" spans="1:77" x14ac:dyDescent="0.3">
      <c r="A83" s="15" t="s">
        <v>22</v>
      </c>
      <c r="B83" s="15">
        <v>43</v>
      </c>
      <c r="C83" s="15">
        <v>-16</v>
      </c>
      <c r="D83" s="15">
        <v>9</v>
      </c>
      <c r="E83" s="15"/>
      <c r="F83" s="15"/>
      <c r="G83" s="15">
        <v>94</v>
      </c>
      <c r="H83" s="15">
        <v>9</v>
      </c>
      <c r="I83" s="15"/>
      <c r="J83" s="15"/>
      <c r="K83" s="15"/>
      <c r="L83" s="15"/>
      <c r="M83" s="15">
        <v>58</v>
      </c>
      <c r="N83" s="15">
        <v>9</v>
      </c>
      <c r="O83" s="15"/>
      <c r="P83" s="15"/>
      <c r="Q83" s="15"/>
      <c r="R83" s="15"/>
      <c r="S83" s="15">
        <v>66</v>
      </c>
      <c r="T83" s="15">
        <v>9</v>
      </c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V83" s="1">
        <v>5</v>
      </c>
      <c r="BW83" s="1" t="str">
        <v>Lou</v>
      </c>
      <c r="BX83" s="1">
        <v>6.1890000000000001</v>
      </c>
      <c r="BY83" s="1">
        <v>37</v>
      </c>
    </row>
    <row r="84" spans="1:77" x14ac:dyDescent="0.3">
      <c r="A84" s="15" t="s">
        <v>22</v>
      </c>
      <c r="B84" s="15">
        <v>42</v>
      </c>
      <c r="C84" s="15">
        <v>63</v>
      </c>
      <c r="D84" s="15">
        <v>13</v>
      </c>
      <c r="E84" s="15">
        <v>89</v>
      </c>
      <c r="F84" s="15">
        <v>13</v>
      </c>
      <c r="G84" s="15">
        <v>43</v>
      </c>
      <c r="H84" s="15">
        <v>13</v>
      </c>
      <c r="I84" s="15"/>
      <c r="J84" s="15"/>
      <c r="K84" s="15"/>
      <c r="L84" s="15"/>
      <c r="M84" s="15"/>
      <c r="N84" s="15"/>
      <c r="O84" s="15"/>
      <c r="P84" s="15"/>
      <c r="Q84" s="15">
        <v>60</v>
      </c>
      <c r="R84" s="15">
        <v>13</v>
      </c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V84" s="1">
        <v>6</v>
      </c>
      <c r="BW84" s="1" t="str">
        <v>william</v>
      </c>
      <c r="BX84" s="1">
        <v>6.069</v>
      </c>
      <c r="BY84" s="1">
        <v>29</v>
      </c>
    </row>
    <row r="85" spans="1:77" x14ac:dyDescent="0.3">
      <c r="A85" s="15" t="s">
        <v>22</v>
      </c>
      <c r="B85" s="15">
        <v>41</v>
      </c>
      <c r="C85" s="15">
        <v>16</v>
      </c>
      <c r="D85" s="15">
        <v>6</v>
      </c>
      <c r="E85" s="15">
        <v>16</v>
      </c>
      <c r="F85" s="15">
        <v>6</v>
      </c>
      <c r="G85" s="15">
        <v>21</v>
      </c>
      <c r="H85" s="15">
        <v>6</v>
      </c>
      <c r="I85" s="15">
        <v>40</v>
      </c>
      <c r="J85" s="15">
        <v>6</v>
      </c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BV85" s="1">
        <v>7</v>
      </c>
      <c r="BW85" s="1" t="str">
        <v>célian</v>
      </c>
      <c r="BX85" s="1">
        <v>5.9619999999999997</v>
      </c>
      <c r="BY85" s="1">
        <v>185</v>
      </c>
    </row>
    <row r="86" spans="1:77" x14ac:dyDescent="0.3">
      <c r="A86" s="15" t="s">
        <v>22</v>
      </c>
      <c r="B86" s="15">
        <v>40</v>
      </c>
      <c r="C86" s="15">
        <v>58</v>
      </c>
      <c r="D86" s="15">
        <v>8</v>
      </c>
      <c r="E86" s="15">
        <v>22</v>
      </c>
      <c r="F86" s="15">
        <v>8</v>
      </c>
      <c r="G86" s="15">
        <v>62</v>
      </c>
      <c r="H86" s="15">
        <v>8</v>
      </c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>
        <v>16</v>
      </c>
      <c r="AD86" s="15">
        <v>8</v>
      </c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>
        <v>22</v>
      </c>
      <c r="AZ86" s="15">
        <v>8</v>
      </c>
      <c r="BV86" s="1">
        <v>8</v>
      </c>
      <c r="BW86" s="1" t="str">
        <v>samuel</v>
      </c>
      <c r="BX86" s="1">
        <v>5.91</v>
      </c>
      <c r="BY86" s="1">
        <v>211</v>
      </c>
    </row>
    <row r="87" spans="1:77" x14ac:dyDescent="0.3">
      <c r="A87" s="15" t="s">
        <v>22</v>
      </c>
      <c r="B87" s="15">
        <v>39</v>
      </c>
      <c r="C87" s="15">
        <v>38</v>
      </c>
      <c r="D87" s="15">
        <v>4</v>
      </c>
      <c r="E87" s="15">
        <v>46</v>
      </c>
      <c r="F87" s="15">
        <v>4</v>
      </c>
      <c r="G87" s="15">
        <v>-14</v>
      </c>
      <c r="H87" s="15">
        <v>3</v>
      </c>
      <c r="I87" s="15">
        <v>38</v>
      </c>
      <c r="J87" s="15">
        <v>4</v>
      </c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>
        <v>0</v>
      </c>
      <c r="AF87" s="15">
        <v>1</v>
      </c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V87" s="1">
        <v>9</v>
      </c>
      <c r="BW87" s="1" t="str">
        <v>mehdi</v>
      </c>
      <c r="BX87" s="1">
        <v>5.77</v>
      </c>
      <c r="BY87" s="1">
        <v>421</v>
      </c>
    </row>
    <row r="88" spans="1:77" x14ac:dyDescent="0.3">
      <c r="A88" s="15" t="s">
        <v>22</v>
      </c>
      <c r="B88" s="15">
        <v>38</v>
      </c>
      <c r="C88" s="15">
        <v>47</v>
      </c>
      <c r="D88" s="15">
        <v>8</v>
      </c>
      <c r="E88" s="15"/>
      <c r="F88" s="15"/>
      <c r="G88" s="15">
        <v>46</v>
      </c>
      <c r="H88" s="15">
        <v>8</v>
      </c>
      <c r="I88" s="15"/>
      <c r="J88" s="15"/>
      <c r="K88" s="15">
        <v>65</v>
      </c>
      <c r="L88" s="15">
        <v>8</v>
      </c>
      <c r="M88" s="15"/>
      <c r="N88" s="15"/>
      <c r="O88" s="15">
        <v>47</v>
      </c>
      <c r="P88" s="15">
        <v>8</v>
      </c>
      <c r="Q88" s="15"/>
      <c r="R88" s="15"/>
      <c r="S88" s="15"/>
      <c r="T88" s="15"/>
      <c r="U88" s="15"/>
      <c r="V88" s="15"/>
      <c r="W88" s="15">
        <v>-8</v>
      </c>
      <c r="X88" s="15">
        <v>8</v>
      </c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>
        <v>10</v>
      </c>
      <c r="BW88" s="1" t="str">
        <v>achille</v>
      </c>
      <c r="BX88" s="1">
        <v>5.3</v>
      </c>
      <c r="BY88" s="1">
        <v>773</v>
      </c>
    </row>
    <row r="89" spans="1:77" x14ac:dyDescent="0.3">
      <c r="A89" s="15" t="s">
        <v>22</v>
      </c>
      <c r="B89" s="15">
        <v>37</v>
      </c>
      <c r="C89" s="15">
        <v>128</v>
      </c>
      <c r="D89" s="15">
        <v>20</v>
      </c>
      <c r="E89" s="15"/>
      <c r="F89" s="15"/>
      <c r="G89" s="15">
        <v>152</v>
      </c>
      <c r="H89" s="15">
        <v>20</v>
      </c>
      <c r="I89" s="15"/>
      <c r="J89" s="15"/>
      <c r="K89" s="15"/>
      <c r="L89" s="15"/>
      <c r="M89" s="15">
        <v>94</v>
      </c>
      <c r="N89" s="15">
        <v>20</v>
      </c>
      <c r="O89" s="15"/>
      <c r="P89" s="15"/>
      <c r="Q89" s="15">
        <v>121</v>
      </c>
      <c r="R89" s="15">
        <v>20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>
        <v>11</v>
      </c>
      <c r="BW89" s="1" t="str">
        <v>damien</v>
      </c>
      <c r="BX89" s="1">
        <v>4.859</v>
      </c>
      <c r="BY89" s="1">
        <v>455</v>
      </c>
    </row>
    <row r="90" spans="1:77" x14ac:dyDescent="0.3">
      <c r="A90" s="15" t="s">
        <v>22</v>
      </c>
      <c r="B90" s="15">
        <v>36</v>
      </c>
      <c r="C90" s="15">
        <v>68</v>
      </c>
      <c r="D90" s="15">
        <v>12</v>
      </c>
      <c r="E90" s="15">
        <v>45</v>
      </c>
      <c r="F90" s="15">
        <v>12</v>
      </c>
      <c r="G90" s="15"/>
      <c r="H90" s="15"/>
      <c r="I90" s="15"/>
      <c r="J90" s="15"/>
      <c r="K90" s="15">
        <v>49</v>
      </c>
      <c r="L90" s="15">
        <v>12</v>
      </c>
      <c r="M90" s="15">
        <v>98</v>
      </c>
      <c r="N90" s="15">
        <v>12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>
        <v>12</v>
      </c>
      <c r="BW90" s="1" t="str">
        <v>paul</v>
      </c>
      <c r="BX90" s="1">
        <v>4.8129999999999997</v>
      </c>
      <c r="BY90" s="1">
        <v>32</v>
      </c>
    </row>
    <row r="91" spans="1:77" x14ac:dyDescent="0.3">
      <c r="A91" s="15" t="s">
        <v>22</v>
      </c>
      <c r="B91" s="15">
        <v>35</v>
      </c>
      <c r="C91" s="15">
        <v>43</v>
      </c>
      <c r="D91" s="15">
        <v>12</v>
      </c>
      <c r="E91" s="15">
        <v>75</v>
      </c>
      <c r="F91" s="15">
        <v>12</v>
      </c>
      <c r="G91" s="15">
        <v>74</v>
      </c>
      <c r="H91" s="15">
        <v>12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V91" s="1">
        <v>13</v>
      </c>
      <c r="BW91" s="1" t="str">
        <v>Jules</v>
      </c>
      <c r="BX91" s="1">
        <v>4.3529999999999998</v>
      </c>
      <c r="BY91" s="1">
        <v>68</v>
      </c>
    </row>
    <row r="92" spans="1:77" x14ac:dyDescent="0.3">
      <c r="A92" s="15" t="s">
        <v>22</v>
      </c>
      <c r="B92" s="15">
        <v>34</v>
      </c>
      <c r="C92" s="15"/>
      <c r="D92" s="15"/>
      <c r="E92" s="15">
        <v>24</v>
      </c>
      <c r="F92" s="15">
        <v>4</v>
      </c>
      <c r="G92" s="15">
        <v>27</v>
      </c>
      <c r="H92" s="15">
        <v>4</v>
      </c>
      <c r="I92" s="15"/>
      <c r="J92" s="15"/>
      <c r="K92" s="15"/>
      <c r="L92" s="15"/>
      <c r="M92" s="15">
        <v>-32</v>
      </c>
      <c r="N92" s="15">
        <v>4</v>
      </c>
      <c r="O92" s="15"/>
      <c r="P92" s="15"/>
      <c r="Q92" s="15">
        <v>68</v>
      </c>
      <c r="R92" s="15">
        <v>12</v>
      </c>
      <c r="S92" s="15">
        <v>56</v>
      </c>
      <c r="T92" s="15">
        <v>4</v>
      </c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V92" s="1">
        <v>14</v>
      </c>
      <c r="BW92" s="1" t="str">
        <v>marie</v>
      </c>
      <c r="BX92" s="1">
        <v>4.1379999999999999</v>
      </c>
      <c r="BY92" s="1">
        <v>170</v>
      </c>
    </row>
    <row r="93" spans="1:77" x14ac:dyDescent="0.3">
      <c r="A93" s="15" t="s">
        <v>22</v>
      </c>
      <c r="B93" s="15">
        <v>33</v>
      </c>
      <c r="C93" s="15">
        <v>11</v>
      </c>
      <c r="D93" s="15">
        <v>2</v>
      </c>
      <c r="E93" s="15"/>
      <c r="F93" s="15"/>
      <c r="G93" s="15">
        <v>11</v>
      </c>
      <c r="H93" s="15">
        <v>2</v>
      </c>
      <c r="I93" s="15">
        <v>13</v>
      </c>
      <c r="J93" s="15">
        <v>2</v>
      </c>
      <c r="K93" s="15"/>
      <c r="L93" s="15"/>
      <c r="M93" s="15"/>
      <c r="N93" s="15"/>
      <c r="O93" s="15"/>
      <c r="P93" s="15"/>
      <c r="Q93" s="15"/>
      <c r="R93" s="15"/>
      <c r="S93" s="15">
        <v>13</v>
      </c>
      <c r="T93" s="15">
        <v>2</v>
      </c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6"/>
      <c r="AQ93" s="15"/>
      <c r="AR93" s="15"/>
      <c r="AS93" s="15"/>
      <c r="AT93" s="15"/>
      <c r="AU93" s="15"/>
      <c r="AV93" s="15"/>
      <c r="AW93" s="15"/>
      <c r="AX93" s="15"/>
      <c r="AY93" s="15"/>
      <c r="BV93" s="1">
        <v>15</v>
      </c>
      <c r="BW93" s="1" t="str">
        <v>Joey</v>
      </c>
      <c r="BX93" s="1">
        <v>3.37</v>
      </c>
      <c r="BY93" s="1">
        <v>27</v>
      </c>
    </row>
    <row r="94" spans="1:77" x14ac:dyDescent="0.3">
      <c r="A94" s="15" t="s">
        <v>22</v>
      </c>
      <c r="B94" s="15">
        <v>32</v>
      </c>
      <c r="C94" s="15">
        <v>14</v>
      </c>
      <c r="D94" s="15">
        <v>11</v>
      </c>
      <c r="E94" s="15"/>
      <c r="F94" s="15"/>
      <c r="G94" s="15">
        <v>105</v>
      </c>
      <c r="H94" s="15">
        <v>11</v>
      </c>
      <c r="I94" s="15">
        <v>81</v>
      </c>
      <c r="J94" s="15">
        <v>11</v>
      </c>
      <c r="K94" s="15">
        <v>61</v>
      </c>
      <c r="L94" s="15">
        <v>11</v>
      </c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>
        <v>16</v>
      </c>
      <c r="BW94" s="1" t="str">
        <v>luca</v>
      </c>
      <c r="BX94" s="1">
        <v>3.2010000000000001</v>
      </c>
      <c r="BY94" s="1">
        <v>144</v>
      </c>
    </row>
    <row r="95" spans="1:77" x14ac:dyDescent="0.3">
      <c r="A95" s="15" t="s">
        <v>22</v>
      </c>
      <c r="B95" s="15">
        <v>31</v>
      </c>
      <c r="C95" s="15">
        <v>40</v>
      </c>
      <c r="D95" s="15">
        <v>4</v>
      </c>
      <c r="E95" s="15"/>
      <c r="F95" s="15"/>
      <c r="G95" s="15">
        <v>1</v>
      </c>
      <c r="H95" s="15">
        <v>4</v>
      </c>
      <c r="I95" s="15"/>
      <c r="J95" s="15"/>
      <c r="K95" s="15">
        <v>30</v>
      </c>
      <c r="L95" s="15">
        <v>4</v>
      </c>
      <c r="M95" s="15"/>
      <c r="N95" s="15"/>
      <c r="O95" s="15"/>
      <c r="P95" s="15"/>
      <c r="Q95" s="15"/>
      <c r="R95" s="15"/>
      <c r="S95" s="15">
        <v>19</v>
      </c>
      <c r="T95" s="15">
        <v>4</v>
      </c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>
        <v>17</v>
      </c>
      <c r="BW95" s="1" t="str">
        <v>Quentin</v>
      </c>
      <c r="BX95" s="1">
        <v>3.0259999999999998</v>
      </c>
      <c r="BY95" s="1">
        <v>38</v>
      </c>
    </row>
    <row r="96" spans="1:77" x14ac:dyDescent="0.3">
      <c r="A96" s="15" t="s">
        <v>22</v>
      </c>
      <c r="B96" s="15">
        <v>30</v>
      </c>
      <c r="C96" s="15">
        <f>56/2</f>
        <v>28</v>
      </c>
      <c r="D96" s="15">
        <f>6/2</f>
        <v>3</v>
      </c>
      <c r="E96" s="15"/>
      <c r="F96" s="15"/>
      <c r="G96" s="15">
        <v>-28</v>
      </c>
      <c r="H96" s="15">
        <v>6</v>
      </c>
      <c r="I96" s="15"/>
      <c r="J96" s="15"/>
      <c r="K96" s="15">
        <f>56/2</f>
        <v>28</v>
      </c>
      <c r="L96" s="15">
        <f>6/2</f>
        <v>3</v>
      </c>
      <c r="M96" s="15">
        <v>28</v>
      </c>
      <c r="N96" s="15">
        <v>6</v>
      </c>
      <c r="O96" s="15"/>
      <c r="P96" s="15"/>
      <c r="Q96" s="15"/>
      <c r="R96" s="15"/>
      <c r="S96" s="15">
        <v>53</v>
      </c>
      <c r="T96" s="15">
        <v>6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BV96" s="1">
        <v>18</v>
      </c>
      <c r="BW96" s="1" t="str">
        <v>fantinne</v>
      </c>
      <c r="BX96" s="1">
        <v>2.556</v>
      </c>
      <c r="BY96" s="1">
        <v>36</v>
      </c>
    </row>
    <row r="97" spans="1:80" x14ac:dyDescent="0.3">
      <c r="A97" s="15" t="s">
        <v>22</v>
      </c>
      <c r="B97" s="15">
        <v>29</v>
      </c>
      <c r="C97" s="15">
        <v>7</v>
      </c>
      <c r="D97" s="15">
        <v>6</v>
      </c>
      <c r="E97" s="15">
        <v>41</v>
      </c>
      <c r="F97" s="15">
        <v>6</v>
      </c>
      <c r="G97" s="15">
        <v>42</v>
      </c>
      <c r="H97" s="15">
        <v>6</v>
      </c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>
        <v>34</v>
      </c>
      <c r="T97" s="15">
        <v>6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>
        <v>19</v>
      </c>
      <c r="BW97" s="1" t="str">
        <v>loulou</v>
      </c>
      <c r="BX97" s="1">
        <v>2.0750000000000002</v>
      </c>
      <c r="BY97" s="1">
        <v>67</v>
      </c>
    </row>
    <row r="98" spans="1:80" x14ac:dyDescent="0.3">
      <c r="A98" s="15" t="s">
        <v>22</v>
      </c>
      <c r="B98" s="15">
        <v>28</v>
      </c>
      <c r="C98" s="15">
        <v>31</v>
      </c>
      <c r="D98" s="15">
        <v>4</v>
      </c>
      <c r="E98" s="15">
        <v>55</v>
      </c>
      <c r="F98" s="15">
        <v>4</v>
      </c>
      <c r="G98" s="15">
        <v>-8</v>
      </c>
      <c r="H98" s="15">
        <v>4</v>
      </c>
      <c r="I98" s="15">
        <v>33</v>
      </c>
      <c r="J98" s="15">
        <v>4</v>
      </c>
      <c r="K98" s="15"/>
      <c r="L98" s="15"/>
      <c r="M98" s="15">
        <v>11</v>
      </c>
      <c r="N98" s="15">
        <v>4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</row>
    <row r="99" spans="1:80" x14ac:dyDescent="0.3">
      <c r="A99" s="15" t="s">
        <v>22</v>
      </c>
      <c r="B99" s="15">
        <v>27</v>
      </c>
      <c r="C99" s="15">
        <v>42</v>
      </c>
      <c r="D99" s="15">
        <v>9</v>
      </c>
      <c r="E99" s="15">
        <v>73</v>
      </c>
      <c r="F99" s="15">
        <v>9</v>
      </c>
      <c r="G99" s="15">
        <v>34</v>
      </c>
      <c r="H99" s="15">
        <v>9</v>
      </c>
      <c r="I99" s="15">
        <v>62</v>
      </c>
      <c r="J99" s="15">
        <v>9</v>
      </c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</row>
    <row r="100" spans="1:80" x14ac:dyDescent="0.3">
      <c r="A100" s="15" t="s">
        <v>22</v>
      </c>
      <c r="B100" s="15">
        <v>26</v>
      </c>
      <c r="C100" s="15">
        <v>0</v>
      </c>
      <c r="D100" s="15">
        <v>1</v>
      </c>
      <c r="E100" s="15">
        <v>8</v>
      </c>
      <c r="F100" s="15">
        <v>1</v>
      </c>
      <c r="G100" s="15"/>
      <c r="H100" s="15"/>
      <c r="I100" s="15"/>
      <c r="J100" s="15"/>
      <c r="K100" s="15"/>
      <c r="L100" s="15"/>
      <c r="M100" s="15">
        <v>21</v>
      </c>
      <c r="N100" s="15">
        <v>2</v>
      </c>
      <c r="O100" s="15"/>
      <c r="P100" s="15"/>
      <c r="Q100" s="15"/>
      <c r="R100" s="15"/>
      <c r="S100" s="15">
        <v>13</v>
      </c>
      <c r="T100" s="15">
        <v>2</v>
      </c>
      <c r="U100" s="15"/>
      <c r="V100" s="15"/>
      <c r="W100" s="15"/>
      <c r="X100" s="15"/>
      <c r="Y100" s="15"/>
      <c r="Z100" s="15"/>
      <c r="AA100" s="15"/>
      <c r="AB100" s="15"/>
      <c r="AC100" s="15">
        <v>0</v>
      </c>
      <c r="AD100" s="15">
        <v>2</v>
      </c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</row>
    <row r="101" spans="1:80" x14ac:dyDescent="0.3">
      <c r="A101" s="15" t="s">
        <v>22</v>
      </c>
      <c r="B101" s="15">
        <v>25</v>
      </c>
      <c r="C101" s="15"/>
      <c r="D101" s="15"/>
      <c r="E101" s="15">
        <v>-14</v>
      </c>
      <c r="F101" s="15">
        <v>2</v>
      </c>
      <c r="G101" s="15">
        <v>27</v>
      </c>
      <c r="H101" s="15">
        <v>2</v>
      </c>
      <c r="I101" s="15">
        <v>-14</v>
      </c>
      <c r="J101" s="15">
        <v>2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>
        <v>27</v>
      </c>
      <c r="AF101" s="15">
        <v>2</v>
      </c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</row>
    <row r="102" spans="1:80" x14ac:dyDescent="0.3">
      <c r="A102" s="15" t="s">
        <v>22</v>
      </c>
      <c r="B102" s="15">
        <v>24</v>
      </c>
      <c r="C102" s="15">
        <v>14</v>
      </c>
      <c r="D102" s="15">
        <v>2</v>
      </c>
      <c r="E102" s="15"/>
      <c r="F102" s="15"/>
      <c r="G102" s="15">
        <v>34</v>
      </c>
      <c r="H102" s="15">
        <v>2</v>
      </c>
      <c r="I102" s="15"/>
      <c r="J102" s="15"/>
      <c r="K102" s="15">
        <v>20</v>
      </c>
      <c r="L102" s="15">
        <v>2</v>
      </c>
      <c r="M102" s="15">
        <v>0</v>
      </c>
      <c r="N102" s="15">
        <v>2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</row>
    <row r="103" spans="1:80" x14ac:dyDescent="0.3">
      <c r="A103" s="15" t="s">
        <v>22</v>
      </c>
      <c r="B103" s="15">
        <v>23</v>
      </c>
      <c r="C103" s="15">
        <v>13</v>
      </c>
      <c r="D103" s="15">
        <v>9</v>
      </c>
      <c r="E103" s="15"/>
      <c r="F103" s="15"/>
      <c r="G103" s="15">
        <v>99</v>
      </c>
      <c r="H103" s="15">
        <v>9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>
        <v>28</v>
      </c>
      <c r="T103" s="15">
        <v>9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>
        <v>42</v>
      </c>
      <c r="AL103" s="15">
        <v>9</v>
      </c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80" x14ac:dyDescent="0.3">
      <c r="A104" s="15" t="s">
        <v>22</v>
      </c>
      <c r="B104" s="15">
        <v>22</v>
      </c>
      <c r="C104" s="15">
        <v>19</v>
      </c>
      <c r="D104" s="15">
        <v>8</v>
      </c>
      <c r="E104" s="15">
        <v>82</v>
      </c>
      <c r="F104" s="15">
        <v>8</v>
      </c>
      <c r="G104" s="15">
        <v>24</v>
      </c>
      <c r="H104" s="15">
        <v>8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>
        <v>79</v>
      </c>
      <c r="AL104" s="15">
        <v>8</v>
      </c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</row>
    <row r="105" spans="1:80" x14ac:dyDescent="0.3">
      <c r="A105" s="15" t="s">
        <v>22</v>
      </c>
      <c r="B105" s="15">
        <v>21</v>
      </c>
      <c r="C105" s="15">
        <v>93</v>
      </c>
      <c r="D105" s="15">
        <v>20</v>
      </c>
      <c r="E105" s="15">
        <v>156</v>
      </c>
      <c r="F105" s="15">
        <v>20</v>
      </c>
      <c r="G105" s="15">
        <v>153</v>
      </c>
      <c r="H105" s="15">
        <v>20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>
        <v>59</v>
      </c>
      <c r="X105" s="15">
        <v>20</v>
      </c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 t="str" cm="1">
        <f t="array" ref="BV105:BX122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05" s="1">
        <v>8.1428571428571423</v>
      </c>
      <c r="BX105" s="1">
        <v>49</v>
      </c>
      <c r="CA105" s="1" t="str" cm="1">
        <f t="array" ref="CA105:CB123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05" s="1">
        <v>8.1428571428571423</v>
      </c>
    </row>
    <row r="106" spans="1:80" x14ac:dyDescent="0.3">
      <c r="A106" s="15" t="s">
        <v>22</v>
      </c>
      <c r="B106" s="15">
        <v>20</v>
      </c>
      <c r="C106" s="15"/>
      <c r="D106" s="15"/>
      <c r="E106" s="15">
        <v>35</v>
      </c>
      <c r="F106" s="15">
        <v>8</v>
      </c>
      <c r="G106" s="15">
        <v>45</v>
      </c>
      <c r="H106" s="15">
        <v>8</v>
      </c>
      <c r="I106" s="15"/>
      <c r="J106" s="15"/>
      <c r="K106" s="15"/>
      <c r="L106" s="15"/>
      <c r="M106" s="15">
        <v>27</v>
      </c>
      <c r="N106" s="15">
        <v>8</v>
      </c>
      <c r="O106" s="15"/>
      <c r="P106" s="15"/>
      <c r="Q106" s="15"/>
      <c r="R106" s="15"/>
      <c r="S106" s="15">
        <v>78</v>
      </c>
      <c r="T106" s="15">
        <v>8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 t="str">
        <v>boris</v>
      </c>
      <c r="BW106" s="1">
        <v>7.1890574214517873</v>
      </c>
      <c r="BX106" s="1">
        <v>923</v>
      </c>
      <c r="CA106" s="1" t="str">
        <v>boris</v>
      </c>
      <c r="CB106" s="1">
        <v>7.1890574214517873</v>
      </c>
    </row>
    <row r="107" spans="1:80" x14ac:dyDescent="0.3">
      <c r="A107" s="15" t="s">
        <v>22</v>
      </c>
      <c r="B107" s="15">
        <v>19</v>
      </c>
      <c r="C107" s="15">
        <v>2</v>
      </c>
      <c r="D107" s="15">
        <v>7</v>
      </c>
      <c r="E107" s="15">
        <v>57</v>
      </c>
      <c r="F107" s="15">
        <v>7</v>
      </c>
      <c r="G107" s="15">
        <v>73</v>
      </c>
      <c r="H107" s="15">
        <v>7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>
        <v>29</v>
      </c>
      <c r="T107" s="15">
        <v>7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BV107" s="1" t="str">
        <v>tom</v>
      </c>
      <c r="BW107" s="1">
        <v>6.2216216216216216</v>
      </c>
      <c r="BX107" s="1">
        <v>185</v>
      </c>
      <c r="CA107" s="1" t="str">
        <v>tom</v>
      </c>
      <c r="CB107" s="1">
        <v>6.2216216216216216</v>
      </c>
    </row>
    <row r="108" spans="1:80" x14ac:dyDescent="0.3">
      <c r="A108" s="15" t="s">
        <v>22</v>
      </c>
      <c r="B108" s="15">
        <v>18</v>
      </c>
      <c r="C108" s="15">
        <v>50</v>
      </c>
      <c r="D108" s="15">
        <v>10</v>
      </c>
      <c r="E108" s="15"/>
      <c r="F108" s="15"/>
      <c r="G108" s="15">
        <v>103</v>
      </c>
      <c r="H108" s="15">
        <v>10</v>
      </c>
      <c r="I108" s="15"/>
      <c r="J108" s="15"/>
      <c r="K108" s="15"/>
      <c r="L108" s="15"/>
      <c r="M108" s="15"/>
      <c r="N108" s="15"/>
      <c r="O108" s="15"/>
      <c r="P108" s="15"/>
      <c r="Q108" s="15">
        <v>44</v>
      </c>
      <c r="R108" s="15">
        <v>10</v>
      </c>
      <c r="S108" s="15"/>
      <c r="T108" s="15"/>
      <c r="U108" s="15">
        <v>2</v>
      </c>
      <c r="V108" s="15">
        <v>10</v>
      </c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V108" s="1" t="str">
        <v>joachim</v>
      </c>
      <c r="BW108" s="1">
        <v>6.2019230769230766</v>
      </c>
      <c r="BX108" s="1">
        <v>104</v>
      </c>
      <c r="CA108" s="1" t="str">
        <v>joachim</v>
      </c>
      <c r="CB108" s="1">
        <v>6.2019230769230766</v>
      </c>
    </row>
    <row r="109" spans="1:80" x14ac:dyDescent="0.3">
      <c r="A109" s="15" t="s">
        <v>22</v>
      </c>
      <c r="B109" s="15">
        <v>17</v>
      </c>
      <c r="C109" s="15">
        <v>28</v>
      </c>
      <c r="D109" s="15">
        <v>8</v>
      </c>
      <c r="E109" s="15">
        <v>8</v>
      </c>
      <c r="F109" s="15">
        <v>8</v>
      </c>
      <c r="G109" s="15">
        <v>94</v>
      </c>
      <c r="H109" s="15">
        <v>8</v>
      </c>
      <c r="I109" s="15"/>
      <c r="J109" s="15"/>
      <c r="K109" s="15"/>
      <c r="L109" s="15"/>
      <c r="M109" s="15">
        <v>39</v>
      </c>
      <c r="N109" s="15">
        <v>8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V109" s="1" t="str">
        <v>william</v>
      </c>
      <c r="BW109" s="1">
        <v>6.068965517241379</v>
      </c>
      <c r="BX109" s="1">
        <v>29</v>
      </c>
      <c r="CA109" s="1" t="str">
        <v>Lou</v>
      </c>
      <c r="CB109" s="1">
        <v>6.1891891891891895</v>
      </c>
    </row>
    <row r="110" spans="1:80" x14ac:dyDescent="0.3">
      <c r="A110" s="15" t="s">
        <v>22</v>
      </c>
      <c r="B110" s="15">
        <v>16</v>
      </c>
      <c r="C110" s="15">
        <v>59</v>
      </c>
      <c r="D110" s="15">
        <v>11</v>
      </c>
      <c r="E110" s="15">
        <v>99</v>
      </c>
      <c r="F110" s="15">
        <v>11</v>
      </c>
      <c r="G110" s="15">
        <v>46</v>
      </c>
      <c r="H110" s="15">
        <v>11</v>
      </c>
      <c r="I110" s="15">
        <v>42</v>
      </c>
      <c r="J110" s="15">
        <v>11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 t="str">
        <v>célian</v>
      </c>
      <c r="BW110" s="1">
        <v>5.9621621621621621</v>
      </c>
      <c r="BX110" s="1">
        <v>185</v>
      </c>
      <c r="CA110" s="1" t="str">
        <v>william</v>
      </c>
      <c r="CB110" s="1">
        <v>6.068965517241379</v>
      </c>
    </row>
    <row r="111" spans="1:80" x14ac:dyDescent="0.3">
      <c r="A111" s="15" t="s">
        <v>22</v>
      </c>
      <c r="B111" s="15">
        <v>15</v>
      </c>
      <c r="C111" s="15">
        <v>21</v>
      </c>
      <c r="D111" s="15">
        <v>12</v>
      </c>
      <c r="E111" s="15">
        <v>61</v>
      </c>
      <c r="F111" s="15">
        <v>12</v>
      </c>
      <c r="G111" s="15">
        <v>91</v>
      </c>
      <c r="H111" s="15">
        <v>12</v>
      </c>
      <c r="I111" s="15"/>
      <c r="J111" s="15"/>
      <c r="K111" s="15"/>
      <c r="L111" s="15"/>
      <c r="M111" s="15"/>
      <c r="N111" s="15"/>
      <c r="O111" s="15">
        <v>70</v>
      </c>
      <c r="P111" s="15">
        <v>12</v>
      </c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V111" s="1" t="str">
        <v>samuel</v>
      </c>
      <c r="BW111" s="1">
        <v>5.9099526066350707</v>
      </c>
      <c r="BX111" s="1">
        <v>211</v>
      </c>
      <c r="CA111" s="1" t="str">
        <v>célian</v>
      </c>
      <c r="CB111" s="1">
        <v>5.9621621621621621</v>
      </c>
    </row>
    <row r="112" spans="1:80" x14ac:dyDescent="0.3">
      <c r="A112" s="15" t="s">
        <v>22</v>
      </c>
      <c r="B112" s="15">
        <v>14</v>
      </c>
      <c r="C112" s="15">
        <v>29</v>
      </c>
      <c r="D112" s="15">
        <v>12</v>
      </c>
      <c r="E112" s="15">
        <v>55</v>
      </c>
      <c r="F112" s="15">
        <v>12</v>
      </c>
      <c r="G112" s="15">
        <v>107</v>
      </c>
      <c r="H112" s="15">
        <v>12</v>
      </c>
      <c r="I112" s="15">
        <v>81</v>
      </c>
      <c r="J112" s="15">
        <v>12</v>
      </c>
      <c r="K112" s="15">
        <v>84</v>
      </c>
      <c r="L112" s="15">
        <v>12</v>
      </c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 t="str">
        <v>mehdi</v>
      </c>
      <c r="BW112" s="1">
        <v>5.7695961995249405</v>
      </c>
      <c r="BX112" s="1">
        <v>421</v>
      </c>
      <c r="CA112" s="1" t="str">
        <v>samuel</v>
      </c>
      <c r="CB112" s="1">
        <v>5.9099526066350707</v>
      </c>
    </row>
    <row r="113" spans="1:80" x14ac:dyDescent="0.3">
      <c r="A113" s="15" t="s">
        <v>22</v>
      </c>
      <c r="B113" s="15">
        <v>13</v>
      </c>
      <c r="C113" s="15">
        <v>162</v>
      </c>
      <c r="D113" s="15">
        <v>20</v>
      </c>
      <c r="E113" s="15">
        <v>125</v>
      </c>
      <c r="F113" s="15">
        <v>20</v>
      </c>
      <c r="G113" s="15">
        <v>87</v>
      </c>
      <c r="H113" s="15">
        <v>20</v>
      </c>
      <c r="I113" s="15">
        <v>150</v>
      </c>
      <c r="J113" s="15">
        <v>20</v>
      </c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V113" s="1" t="str">
        <v>achille</v>
      </c>
      <c r="BW113" s="1">
        <v>5.3001293661060798</v>
      </c>
      <c r="BX113" s="1">
        <v>773</v>
      </c>
      <c r="CA113" s="1" t="str">
        <v>mehdi</v>
      </c>
      <c r="CB113" s="1">
        <v>5.7695961995249405</v>
      </c>
    </row>
    <row r="114" spans="1:80" x14ac:dyDescent="0.3">
      <c r="A114" s="1" t="s">
        <v>46</v>
      </c>
      <c r="B114" s="1" t="s">
        <v>47</v>
      </c>
      <c r="BV114" s="1" t="str">
        <v>damien</v>
      </c>
      <c r="BW114" s="1">
        <v>4.859340659340659</v>
      </c>
      <c r="BX114" s="1">
        <v>455</v>
      </c>
      <c r="CA114" s="1" t="str">
        <v>achille</v>
      </c>
      <c r="CB114" s="1">
        <v>5.3001293661060798</v>
      </c>
    </row>
    <row r="115" spans="1:80" x14ac:dyDescent="0.3">
      <c r="A115" s="1" t="s">
        <v>22</v>
      </c>
      <c r="B115" s="1">
        <v>12</v>
      </c>
      <c r="C115" s="1">
        <v>91</v>
      </c>
      <c r="D115" s="1">
        <v>11</v>
      </c>
      <c r="G115" s="1">
        <v>40</v>
      </c>
      <c r="H115" s="1">
        <v>11</v>
      </c>
      <c r="U115" s="1">
        <v>64</v>
      </c>
      <c r="V115" s="1">
        <v>11</v>
      </c>
      <c r="Y115" s="1">
        <v>64</v>
      </c>
      <c r="Z115" s="1">
        <v>11</v>
      </c>
      <c r="BV115" s="1" t="str">
        <v>paul</v>
      </c>
      <c r="BW115" s="1">
        <v>4.8125</v>
      </c>
      <c r="BX115" s="1">
        <v>32</v>
      </c>
      <c r="CA115" s="1" t="str">
        <v>damien</v>
      </c>
      <c r="CB115" s="1">
        <v>4.859340659340659</v>
      </c>
    </row>
    <row r="116" spans="1:80" x14ac:dyDescent="0.3">
      <c r="A116" s="1" t="s">
        <v>22</v>
      </c>
      <c r="B116" s="1">
        <v>11</v>
      </c>
      <c r="C116" s="1">
        <v>64</v>
      </c>
      <c r="D116" s="1">
        <v>20</v>
      </c>
      <c r="E116" s="1">
        <v>87</v>
      </c>
      <c r="F116" s="1">
        <v>20</v>
      </c>
      <c r="G116" s="1">
        <v>185</v>
      </c>
      <c r="H116" s="1">
        <v>20</v>
      </c>
      <c r="M116" s="1">
        <v>134</v>
      </c>
      <c r="N116" s="1">
        <v>20</v>
      </c>
      <c r="BV116" s="1" t="str">
        <v>Jules</v>
      </c>
      <c r="BW116" s="1">
        <v>4.3529411764705879</v>
      </c>
      <c r="BX116" s="1">
        <v>68</v>
      </c>
      <c r="CA116" s="1" t="str">
        <v>paul</v>
      </c>
      <c r="CB116" s="1">
        <v>4.8125</v>
      </c>
    </row>
    <row r="117" spans="1:80" x14ac:dyDescent="0.3">
      <c r="A117" s="1" t="s">
        <v>22</v>
      </c>
      <c r="B117" s="1">
        <v>10</v>
      </c>
      <c r="C117" s="1">
        <v>-2</v>
      </c>
      <c r="D117" s="1">
        <v>8</v>
      </c>
      <c r="G117" s="1">
        <v>65</v>
      </c>
      <c r="H117" s="1">
        <v>8</v>
      </c>
      <c r="K117" s="1">
        <v>44</v>
      </c>
      <c r="L117" s="1">
        <v>8</v>
      </c>
      <c r="M117" s="1">
        <v>80</v>
      </c>
      <c r="N117" s="1">
        <v>8</v>
      </c>
      <c r="BV117" s="1" t="str">
        <v>marie</v>
      </c>
      <c r="BW117" s="1">
        <v>4.1382352941176475</v>
      </c>
      <c r="BX117" s="1">
        <v>170</v>
      </c>
      <c r="CA117" s="1" t="str">
        <v>Jules</v>
      </c>
      <c r="CB117" s="1">
        <v>4.3529411764705879</v>
      </c>
    </row>
    <row r="118" spans="1:80" x14ac:dyDescent="0.3">
      <c r="A118" s="1" t="s">
        <v>22</v>
      </c>
      <c r="B118" s="1">
        <v>9</v>
      </c>
      <c r="C118" s="1">
        <v>45</v>
      </c>
      <c r="D118" s="1">
        <v>9</v>
      </c>
      <c r="G118" s="1">
        <v>47</v>
      </c>
      <c r="H118" s="1">
        <v>9</v>
      </c>
      <c r="Y118" s="1">
        <v>44</v>
      </c>
      <c r="Z118" s="1">
        <v>9</v>
      </c>
      <c r="AA118" s="1">
        <v>42</v>
      </c>
      <c r="AB118" s="1">
        <v>9</v>
      </c>
      <c r="BV118" s="1" t="str">
        <v>Joey</v>
      </c>
      <c r="BW118" s="1">
        <v>3.3703703703703702</v>
      </c>
      <c r="BX118" s="1">
        <v>27</v>
      </c>
      <c r="CA118" s="1" t="str">
        <v>marie</v>
      </c>
      <c r="CB118" s="1">
        <v>4.1382352941176475</v>
      </c>
    </row>
    <row r="119" spans="1:80" x14ac:dyDescent="0.3">
      <c r="A119" s="1" t="s">
        <v>22</v>
      </c>
      <c r="B119" s="1">
        <v>8</v>
      </c>
      <c r="C119" s="1">
        <v>61</v>
      </c>
      <c r="D119" s="1">
        <v>12</v>
      </c>
      <c r="G119" s="1">
        <v>96</v>
      </c>
      <c r="H119" s="1">
        <v>12</v>
      </c>
      <c r="Y119" s="1">
        <v>46</v>
      </c>
      <c r="Z119" s="1">
        <v>12</v>
      </c>
      <c r="AA119" s="1">
        <v>47</v>
      </c>
      <c r="AB119" s="1">
        <v>12</v>
      </c>
      <c r="BV119" s="1" t="str">
        <v>luca</v>
      </c>
      <c r="BW119" s="1">
        <v>3.2013888888888888</v>
      </c>
      <c r="BX119" s="1">
        <v>144</v>
      </c>
      <c r="CA119" s="1" t="str">
        <v>Joey</v>
      </c>
      <c r="CB119" s="1">
        <v>3.3703703703703702</v>
      </c>
    </row>
    <row r="120" spans="1:80" x14ac:dyDescent="0.3">
      <c r="A120" s="1" t="s">
        <v>22</v>
      </c>
      <c r="B120" s="1">
        <v>7</v>
      </c>
      <c r="C120" s="1">
        <v>36</v>
      </c>
      <c r="D120" s="1">
        <v>2</v>
      </c>
      <c r="E120" s="1">
        <v>0</v>
      </c>
      <c r="F120" s="1">
        <v>2</v>
      </c>
      <c r="G120" s="1">
        <v>0</v>
      </c>
      <c r="H120" s="1">
        <v>2</v>
      </c>
      <c r="O120" s="1">
        <v>12</v>
      </c>
      <c r="P120" s="1">
        <v>2</v>
      </c>
      <c r="BV120" s="1" t="str">
        <v>Quentin</v>
      </c>
      <c r="BW120" s="1">
        <v>3.0263157894736841</v>
      </c>
      <c r="BX120" s="1">
        <v>38</v>
      </c>
      <c r="CA120" s="1" t="str">
        <v>luca</v>
      </c>
      <c r="CB120" s="1">
        <v>3.2013888888888888</v>
      </c>
    </row>
    <row r="121" spans="1:80" x14ac:dyDescent="0.3">
      <c r="A121" s="1" t="s">
        <v>22</v>
      </c>
      <c r="B121" s="1">
        <v>6</v>
      </c>
      <c r="C121" s="1">
        <v>99</v>
      </c>
      <c r="D121" s="1">
        <v>13</v>
      </c>
      <c r="E121" s="1">
        <v>23</v>
      </c>
      <c r="F121" s="1">
        <v>13</v>
      </c>
      <c r="G121" s="1">
        <v>90</v>
      </c>
      <c r="H121" s="1">
        <v>13</v>
      </c>
      <c r="I121" s="1">
        <v>131</v>
      </c>
      <c r="J121" s="1">
        <v>13</v>
      </c>
      <c r="BV121" s="1" t="str">
        <v>fantinne</v>
      </c>
      <c r="BW121" s="1">
        <v>2.5555555555555554</v>
      </c>
      <c r="BX121" s="1">
        <v>36</v>
      </c>
      <c r="CA121" s="1" t="str">
        <v>Quentin</v>
      </c>
      <c r="CB121" s="1">
        <v>3.0263157894736841</v>
      </c>
    </row>
    <row r="122" spans="1:80" x14ac:dyDescent="0.3">
      <c r="A122" s="1" t="s">
        <v>22</v>
      </c>
      <c r="B122" s="1">
        <v>5</v>
      </c>
      <c r="C122" s="1">
        <v>56</v>
      </c>
      <c r="D122" s="1">
        <v>9</v>
      </c>
      <c r="E122" s="1">
        <v>35</v>
      </c>
      <c r="F122" s="1">
        <v>9</v>
      </c>
      <c r="G122" s="1">
        <v>106</v>
      </c>
      <c r="H122" s="1">
        <v>9</v>
      </c>
      <c r="W122" s="1">
        <v>55</v>
      </c>
      <c r="X122" s="1">
        <v>9</v>
      </c>
      <c r="BV122" s="1" t="str">
        <v>loulou</v>
      </c>
      <c r="BW122" s="1">
        <v>2.0746268656716418</v>
      </c>
      <c r="BX122" s="1">
        <v>67</v>
      </c>
      <c r="CA122" s="1" t="str">
        <v>fantinne</v>
      </c>
      <c r="CB122" s="1">
        <v>2.5555555555555554</v>
      </c>
    </row>
    <row r="123" spans="1:80" x14ac:dyDescent="0.3">
      <c r="A123" s="1" t="s">
        <v>22</v>
      </c>
      <c r="B123" s="1">
        <v>4</v>
      </c>
      <c r="C123" s="1">
        <v>83</v>
      </c>
      <c r="D123" s="1">
        <v>11</v>
      </c>
      <c r="E123" s="1">
        <v>8</v>
      </c>
      <c r="F123" s="1">
        <v>11</v>
      </c>
      <c r="G123" s="1">
        <v>110</v>
      </c>
      <c r="H123" s="1">
        <v>11</v>
      </c>
      <c r="I123" s="1">
        <v>57</v>
      </c>
      <c r="J123" s="1">
        <v>11</v>
      </c>
      <c r="CA123" s="1" t="str">
        <v>loulou</v>
      </c>
      <c r="CB123" s="1">
        <v>2.0746268656716418</v>
      </c>
    </row>
    <row r="124" spans="1:80" x14ac:dyDescent="0.3">
      <c r="A124" s="1" t="s">
        <v>22</v>
      </c>
      <c r="B124" s="1">
        <v>3</v>
      </c>
      <c r="C124" s="1">
        <v>71</v>
      </c>
      <c r="D124" s="1">
        <v>13</v>
      </c>
      <c r="G124" s="1">
        <v>88</v>
      </c>
      <c r="H124" s="1">
        <v>13</v>
      </c>
      <c r="I124" s="1">
        <v>116</v>
      </c>
      <c r="J124" s="1">
        <v>13</v>
      </c>
      <c r="M124" s="1">
        <v>29</v>
      </c>
      <c r="N124" s="1">
        <v>13</v>
      </c>
    </row>
    <row r="125" spans="1:80" x14ac:dyDescent="0.3">
      <c r="A125" s="1" t="s">
        <v>22</v>
      </c>
      <c r="B125" s="1">
        <v>2</v>
      </c>
      <c r="C125" s="1">
        <v>21</v>
      </c>
      <c r="D125" s="1">
        <v>15</v>
      </c>
      <c r="E125" s="1">
        <v>33</v>
      </c>
      <c r="F125" s="1">
        <v>15</v>
      </c>
      <c r="G125" s="1">
        <v>90</v>
      </c>
      <c r="H125" s="1">
        <v>15</v>
      </c>
      <c r="I125" s="1">
        <v>99</v>
      </c>
      <c r="J125" s="1">
        <v>15</v>
      </c>
    </row>
    <row r="126" spans="1:80" x14ac:dyDescent="0.3">
      <c r="A126" s="1" t="s">
        <v>22</v>
      </c>
      <c r="B126" s="1">
        <v>1</v>
      </c>
      <c r="C126" s="1">
        <v>-5</v>
      </c>
      <c r="D126" s="1">
        <v>12</v>
      </c>
      <c r="E126" s="1">
        <v>88</v>
      </c>
      <c r="F126" s="1">
        <v>12</v>
      </c>
      <c r="G126" s="1">
        <v>64</v>
      </c>
      <c r="H126" s="1">
        <v>12</v>
      </c>
      <c r="I126" s="1">
        <v>95</v>
      </c>
      <c r="J126" s="1">
        <v>12</v>
      </c>
    </row>
  </sheetData>
  <sortState xmlns:xlrd2="http://schemas.microsoft.com/office/spreadsheetml/2017/richdata2" ref="A115:AM126">
    <sortCondition descending="1" ref="B115:B126"/>
  </sortState>
  <mergeCells count="28"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33 I10:I33 K10:K33 M10:M33 C10:C126 E10:E126 O10:O126 Q10:Q126 S10:S126 U10:U126 W10:W126 Y10:Y126 AA10:AA126 AC10:AC126 AE10:AE126 AG10:AG126 AI10:AI126 AK10:AK126 AM10:AM126 AO10:AO126 AQ10:AQ126 AS10:AS126 AU10:AU126 AW10:AW126 AY10:AY126 BA10:BA126 BC10:BC126 BE10:BE126 G35:G126 I35:I126 K35:K126 M35:M126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33 J10:J33 L10:L33 N10:N33 D10:D126 F10:F126 P10:P126 R10:R126 T10:T126 V10:V126 X10:X126 Z10:Z126 AB10:AB126 AD10:AD126 AF10:AF126 AH10:AH126 AJ10:AJ126 AL10:AL126 AN10:AN126 AP10:AP126 AR10:AR126 AT10:AT126 AV10:AV126 AX10:AX126 AZ10:AZ126 BB10:BB126 BD10:BD126 BF10:BF126 H35:H126 J35:J126 L35:L126 N35:N126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47:BO75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47:BT68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zoomScale="99" workbookViewId="0">
      <selection activeCell="D15" sqref="D15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23</v>
      </c>
      <c r="B1" s="1" t="s">
        <v>57</v>
      </c>
      <c r="C1" s="1" t="s">
        <v>58</v>
      </c>
      <c r="D1" s="1" t="s">
        <v>63</v>
      </c>
      <c r="F1" t="str" cm="1">
        <f t="array" ref="F1:F10">'All stat'!BP34:BP43</f>
        <v>légende</v>
      </c>
    </row>
    <row r="2" spans="1:9" x14ac:dyDescent="0.3">
      <c r="A2" s="25" cm="1">
        <f t="array" ref="A2:D20">_xlfn.ANCHORARRAY('All stat'!BL47)</f>
        <v>1</v>
      </c>
      <c r="B2" s="25" t="str">
        <v>gauthier</v>
      </c>
      <c r="C2" s="25" t="str">
        <v>8.143</v>
      </c>
      <c r="D2" s="25">
        <v>49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7.189</v>
      </c>
      <c r="D3" s="25">
        <v>923</v>
      </c>
      <c r="F3" t="str">
        <v>entre 1 et 10</v>
      </c>
      <c r="G3" s="23"/>
      <c r="H3" t="str" cm="1">
        <f t="array" ref="H3:I10">'All stat'!BR36:BS43</f>
        <v>anecdotique</v>
      </c>
      <c r="I3" t="str">
        <v>négligeable</v>
      </c>
    </row>
    <row r="4" spans="1:9" x14ac:dyDescent="0.3">
      <c r="A4" s="25">
        <v>3</v>
      </c>
      <c r="B4" s="25" t="str">
        <v>tom</v>
      </c>
      <c r="C4" s="25" t="str">
        <v>6.222</v>
      </c>
      <c r="D4" s="25">
        <v>185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joachim</v>
      </c>
      <c r="C5" s="25" t="str">
        <v>6.202</v>
      </c>
      <c r="D5" s="25">
        <v>104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Lou</v>
      </c>
      <c r="C6" s="25" t="str">
        <v>6.189</v>
      </c>
      <c r="D6" s="25">
        <v>37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célian</v>
      </c>
      <c r="C8" s="25" t="str">
        <v>5.962</v>
      </c>
      <c r="D8" s="25">
        <v>185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samuel</v>
      </c>
      <c r="C9" s="25" t="str">
        <v>5.910</v>
      </c>
      <c r="D9" s="25">
        <v>211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5.300</v>
      </c>
      <c r="D11" s="25">
        <v>773</v>
      </c>
    </row>
    <row r="12" spans="1:9" x14ac:dyDescent="0.3">
      <c r="A12" s="25">
        <v>11</v>
      </c>
      <c r="B12" s="25" t="str">
        <v>damien</v>
      </c>
      <c r="C12" s="25" t="str">
        <v>4.859</v>
      </c>
      <c r="D12" s="25">
        <v>455</v>
      </c>
    </row>
    <row r="13" spans="1:9" x14ac:dyDescent="0.3">
      <c r="A13" s="25">
        <v>12</v>
      </c>
      <c r="B13" s="25" t="str">
        <v>paul</v>
      </c>
      <c r="C13" s="25" t="str">
        <v>4.813</v>
      </c>
      <c r="D13" s="25">
        <v>32</v>
      </c>
    </row>
    <row r="14" spans="1:9" x14ac:dyDescent="0.3">
      <c r="A14" s="25">
        <v>13</v>
      </c>
      <c r="B14" s="25" t="str">
        <v>Jules</v>
      </c>
      <c r="C14" s="25" t="str">
        <v>4.353</v>
      </c>
      <c r="D14" s="25">
        <v>68</v>
      </c>
    </row>
    <row r="15" spans="1:9" x14ac:dyDescent="0.3">
      <c r="A15" s="25">
        <v>14</v>
      </c>
      <c r="B15" s="25" t="str">
        <v>marie</v>
      </c>
      <c r="C15" s="25" t="str">
        <v>4.138</v>
      </c>
      <c r="D15" s="25">
        <v>170</v>
      </c>
    </row>
    <row r="16" spans="1:9" x14ac:dyDescent="0.3">
      <c r="A16" s="25">
        <v>15</v>
      </c>
      <c r="B16" s="25" t="str">
        <v>Joey</v>
      </c>
      <c r="C16" s="25" t="str">
        <v>3.370</v>
      </c>
      <c r="D16" s="25">
        <v>27</v>
      </c>
    </row>
    <row r="17" spans="1:4" x14ac:dyDescent="0.3">
      <c r="A17" s="25">
        <v>16</v>
      </c>
      <c r="B17" s="25" t="str">
        <v>luca</v>
      </c>
      <c r="C17" s="25" t="str">
        <v>3.201</v>
      </c>
      <c r="D17" s="25">
        <v>144</v>
      </c>
    </row>
    <row r="18" spans="1:4" x14ac:dyDescent="0.3">
      <c r="A18" s="25">
        <v>17</v>
      </c>
      <c r="B18" s="25" t="str">
        <v>Quentin</v>
      </c>
      <c r="C18" s="25" t="str">
        <v>3.026</v>
      </c>
      <c r="D18" s="25">
        <v>38</v>
      </c>
    </row>
    <row r="19" spans="1:4" x14ac:dyDescent="0.3">
      <c r="A19" s="25">
        <v>18</v>
      </c>
      <c r="B19" s="25" t="str">
        <v>fantinne</v>
      </c>
      <c r="C19" s="25" t="str">
        <v>2.556</v>
      </c>
      <c r="D19" s="25">
        <v>36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2025-11-22T13:55:00Z</dcterms:modified>
</cp:coreProperties>
</file>